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C:\Users\USER-PC\Desktop\"/>
    </mc:Choice>
  </mc:AlternateContent>
  <xr:revisionPtr revIDLastSave="0" documentId="8_{702BBDB7-FA65-4D9F-80F1-6D414E8C84D5}" xr6:coauthVersionLast="47" xr6:coauthVersionMax="47" xr10:uidLastSave="{00000000-0000-0000-0000-000000000000}"/>
  <bookViews>
    <workbookView xWindow="-120" yWindow="-120" windowWidth="29040" windowHeight="15990" tabRatio="382" xr2:uid="{B6FD1D77-28A2-426E-B067-D82F23C6ED20}"/>
  </bookViews>
  <sheets>
    <sheet name="PI" sheetId="1" r:id="rId1"/>
  </sheets>
  <externalReferences>
    <externalReference r:id="rId2"/>
  </externalReferences>
  <definedNames>
    <definedName name="_xlnm._FilterDatabase" localSheetId="0" hidden="1">PI!#REF!</definedName>
    <definedName name="LateReason">[1]Options!$D$2:$D$7</definedName>
    <definedName name="MaterialSubtype">[1]Options!$F$2:$F$21</definedName>
    <definedName name="MaxDate">[1]Options!$C$3</definedName>
    <definedName name="MaxQtty">[1]Options!$B$3</definedName>
    <definedName name="MinDate">[1]Options!$C$2</definedName>
    <definedName name="MinQtty">[1]Options!$B$2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9" i="1" l="1"/>
  <c r="G87" i="1"/>
  <c r="E87" i="1"/>
</calcChain>
</file>

<file path=xl/sharedStrings.xml><?xml version="1.0" encoding="utf-8"?>
<sst xmlns="http://schemas.openxmlformats.org/spreadsheetml/2006/main" count="44" uniqueCount="44">
  <si>
    <t>SOLTO INDUSTRIES CO., LTD.</t>
    <phoneticPr fontId="19" type="noConversion"/>
  </si>
  <si>
    <t xml:space="preserve">      (FIRM)</t>
    <phoneticPr fontId="19" type="noConversion"/>
  </si>
  <si>
    <t xml:space="preserve"> Dear Sirs,</t>
    <phoneticPr fontId="19" type="noConversion"/>
  </si>
  <si>
    <t xml:space="preserve">   we have pleasure to present you our offer under following terms and conditions.</t>
    <phoneticPr fontId="19" type="noConversion"/>
  </si>
  <si>
    <t xml:space="preserve">   2. Time of Shipment     : </t>
    <phoneticPr fontId="19" type="noConversion"/>
  </si>
  <si>
    <t xml:space="preserve">   6. Packing                  : Standard export packing (Loose packing)</t>
    <phoneticPr fontId="19" type="noConversion"/>
  </si>
  <si>
    <t xml:space="preserve">   7. Manufacturer            : </t>
    <phoneticPr fontId="19" type="noConversion"/>
  </si>
  <si>
    <t xml:space="preserve">   8. Other                      :</t>
    <phoneticPr fontId="19" type="noConversion"/>
  </si>
  <si>
    <t xml:space="preserve">   9. Additional Conditions  : </t>
    <phoneticPr fontId="19" type="noConversion"/>
  </si>
  <si>
    <t>Description</t>
    <phoneticPr fontId="19" type="noConversion"/>
  </si>
  <si>
    <t>Quantity</t>
    <phoneticPr fontId="19" type="noConversion"/>
  </si>
  <si>
    <t>Unit Price</t>
    <phoneticPr fontId="19" type="noConversion"/>
  </si>
  <si>
    <t xml:space="preserve"> X-MILL Date</t>
    <phoneticPr fontId="19" type="noConversion"/>
  </si>
  <si>
    <r>
      <t xml:space="preserve">  S</t>
    </r>
    <r>
      <rPr>
        <b/>
        <sz val="24"/>
        <rFont val="Arial"/>
        <family val="2"/>
      </rPr>
      <t>OLTO</t>
    </r>
    <phoneticPr fontId="19" type="noConversion"/>
  </si>
  <si>
    <t>TEL : (822) 2658-2042</t>
    <phoneticPr fontId="19" type="noConversion"/>
  </si>
  <si>
    <t>FAX : (822) 2658-3717</t>
    <phoneticPr fontId="19" type="noConversion"/>
  </si>
  <si>
    <t xml:space="preserve">TOTAL : </t>
    <phoneticPr fontId="19" type="noConversion"/>
  </si>
  <si>
    <r>
      <t xml:space="preserve">  </t>
    </r>
    <r>
      <rPr>
        <sz val="11"/>
        <rFont val="Arial"/>
        <family val="2"/>
      </rPr>
      <t>M</t>
    </r>
    <r>
      <rPr>
        <sz val="10"/>
        <rFont val="Arial"/>
        <family val="2"/>
      </rPr>
      <t>ichael Chang</t>
    </r>
    <phoneticPr fontId="19" type="noConversion"/>
  </si>
  <si>
    <r>
      <t xml:space="preserve">  </t>
    </r>
    <r>
      <rPr>
        <sz val="11"/>
        <rFont val="Arial"/>
        <family val="2"/>
      </rPr>
      <t>M</t>
    </r>
    <r>
      <rPr>
        <sz val="10"/>
        <rFont val="Arial"/>
        <family val="2"/>
      </rPr>
      <t>anaging Director</t>
    </r>
    <phoneticPr fontId="19" type="noConversion"/>
  </si>
  <si>
    <t>Accepted by</t>
    <phoneticPr fontId="19" type="noConversion"/>
  </si>
  <si>
    <t>BANK NAME: INDUSTRIAL BANK OF KOREA</t>
    <phoneticPr fontId="19" type="noConversion"/>
  </si>
  <si>
    <t xml:space="preserve">       SEOUL, KOREA</t>
    <phoneticPr fontId="19" type="noConversion"/>
  </si>
  <si>
    <t>A/C NO: 311-062859-56-00015</t>
    <phoneticPr fontId="19" type="noConversion"/>
  </si>
  <si>
    <t xml:space="preserve">            SOLTO INDUSTRIES CO, LTD.</t>
    <phoneticPr fontId="19" type="noConversion"/>
  </si>
  <si>
    <t>Amount</t>
    <phoneticPr fontId="19" type="noConversion"/>
  </si>
  <si>
    <t xml:space="preserve">                  (GAYANG-DONG BRANCH)</t>
    <phoneticPr fontId="19" type="noConversion"/>
  </si>
  <si>
    <t xml:space="preserve">ADD: 684-1, DUNGCHON-DONG, GANGSEO-GU, </t>
    <phoneticPr fontId="19" type="noConversion"/>
  </si>
  <si>
    <r>
      <t xml:space="preserve">      </t>
    </r>
    <r>
      <rPr>
        <u/>
        <sz val="11"/>
        <rFont val="Arial"/>
        <family val="2"/>
      </rPr>
      <t xml:space="preserve"> PROFORMA INVOICE</t>
    </r>
    <phoneticPr fontId="19" type="noConversion"/>
  </si>
  <si>
    <r>
      <t xml:space="preserve">                                      Shipment tolerance for quantity &amp; amount is</t>
    </r>
    <r>
      <rPr>
        <b/>
        <sz val="10"/>
        <rFont val="Arial"/>
        <family val="2"/>
      </rPr>
      <t xml:space="preserve"> +2</t>
    </r>
    <r>
      <rPr>
        <b/>
        <u/>
        <sz val="10"/>
        <rFont val="Arial"/>
        <family val="2"/>
      </rPr>
      <t>%</t>
    </r>
    <r>
      <rPr>
        <sz val="10"/>
        <rFont val="Arial"/>
        <family val="2"/>
      </rPr>
      <t xml:space="preserve"> acceptable</t>
    </r>
    <phoneticPr fontId="19" type="noConversion"/>
  </si>
  <si>
    <r>
      <t xml:space="preserve">   1. Price term     :     </t>
    </r>
    <r>
      <rPr>
        <b/>
        <sz val="10"/>
        <rFont val="Arial"/>
        <family val="2"/>
      </rPr>
      <t xml:space="preserve"> FOB</t>
    </r>
    <phoneticPr fontId="19" type="noConversion"/>
  </si>
  <si>
    <t xml:space="preserve">   5. Inspection               :  </t>
    <phoneticPr fontId="19" type="noConversion"/>
  </si>
  <si>
    <t>Location</t>
    <phoneticPr fontId="19" type="noConversion"/>
  </si>
  <si>
    <t>Teheran-ro 81-gil, Gangnam-gu,</t>
    <phoneticPr fontId="19" type="noConversion"/>
  </si>
  <si>
    <t>Seoul, Republic of Korea, 06168</t>
    <phoneticPr fontId="19" type="noConversion"/>
  </si>
  <si>
    <t xml:space="preserve">   3. Terms of Payment    :  T/T after shipment within 60 days</t>
    <phoneticPr fontId="19" type="noConversion"/>
  </si>
  <si>
    <t>Korea</t>
    <phoneticPr fontId="19" type="noConversion"/>
  </si>
  <si>
    <t>MK SIG SEMI LUX SM</t>
  </si>
  <si>
    <t>BLACK</t>
  </si>
  <si>
    <t>APR. 30th, 2025</t>
    <phoneticPr fontId="19" type="noConversion"/>
  </si>
  <si>
    <t xml:space="preserve"> PO NO : </t>
    <phoneticPr fontId="19" type="noConversion"/>
  </si>
  <si>
    <t>EH-202504/00220</t>
    <phoneticPr fontId="19" type="noConversion"/>
  </si>
  <si>
    <t xml:space="preserve"> SUPERL(CAMBODIA)</t>
    <phoneticPr fontId="19" type="noConversion"/>
  </si>
  <si>
    <t>4/5 Floor, KIMA BLDG, 14,</t>
    <phoneticPr fontId="19" type="noConversion"/>
  </si>
  <si>
    <t xml:space="preserve">   4. Terms of validity       : Good until THE END OF 2026</t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</si>
</sst>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76" formatCode="_ * #,##0_ ;_ * \-#,##0_ ;_ * &quot;-&quot;_ ;_ @_ "/>
    <numFmt numFmtId="177" formatCode="#,##0&quot;YDS&quot;"/>
    <numFmt numFmtId="178" formatCode="&quot;US$&quot;#,##0.00"/>
    <numFmt numFmtId="179" formatCode="dd&quot;-&quot;mmm&quot;-&quot;yy"/>
    <numFmt numFmtId="180" formatCode="#,##0&quot;MTS&quot;"/>
    <numFmt numFmtId="181" formatCode="[$€-2]\ #,##0.00_);[Red]\([$€-2]\ #,##0.00\)"/>
    <numFmt numFmtId="182" formatCode="&quot;US$&quot;#,##0.000"/>
    <numFmt numFmtId="183" formatCode="_(* #,##0_);_(* \(#,##0\);_(* &quot;-&quot;_);_(@_)"/>
  </numFmts>
  <fonts count="35" x14ac:knownFonts="1">
    <font>
      <sz val="11"/>
      <name val="돋움"/>
      <family val="3"/>
      <charset val="129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name val="돋움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sz val="8"/>
      <name val="돋움"/>
      <family val="3"/>
      <charset val="129"/>
    </font>
    <font>
      <sz val="11"/>
      <name val="Arial"/>
      <family val="2"/>
    </font>
    <font>
      <b/>
      <sz val="24"/>
      <name val="Arial"/>
      <family val="2"/>
    </font>
    <font>
      <b/>
      <sz val="36"/>
      <name val="Arial"/>
      <family val="2"/>
    </font>
    <font>
      <b/>
      <sz val="16"/>
      <name val="Arial"/>
      <family val="2"/>
    </font>
    <font>
      <b/>
      <sz val="1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2"/>
      <name val="新細明體"/>
      <family val="1"/>
    </font>
    <font>
      <sz val="11"/>
      <name val="돋움"/>
      <family val="3"/>
      <charset val="129"/>
    </font>
    <font>
      <u/>
      <sz val="11"/>
      <name val="Arial"/>
      <family val="2"/>
    </font>
    <font>
      <sz val="10"/>
      <name val="돋움"/>
      <family val="3"/>
      <charset val="129"/>
    </font>
    <font>
      <b/>
      <u/>
      <sz val="10"/>
      <name val="Arial"/>
      <family val="2"/>
    </font>
    <font>
      <b/>
      <sz val="10"/>
      <color rgb="FF0000FF"/>
      <name val="Arial"/>
      <family val="2"/>
    </font>
    <font>
      <sz val="10"/>
      <color rgb="FFFFFFFF"/>
      <name val="Arial"/>
      <family val="2"/>
    </font>
    <font>
      <sz val="9"/>
      <color theme="1"/>
      <name val="Arial"/>
      <family val="2"/>
    </font>
  </fonts>
  <fills count="2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</fills>
  <borders count="33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 style="double">
        <color indexed="64"/>
      </right>
      <top/>
      <bottom/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double">
        <color indexed="64"/>
      </top>
      <bottom/>
      <diagonal/>
    </border>
  </borders>
  <cellStyleXfs count="54">
    <xf numFmtId="0" fontId="0" fillId="0" borderId="0"/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20" borderId="1" applyNumberFormat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6" fillId="21" borderId="2" applyNumberFormat="0" applyFont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23" borderId="3" applyNumberFormat="0" applyAlignment="0" applyProtection="0">
      <alignment vertical="center"/>
    </xf>
    <xf numFmtId="183" fontId="25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181" fontId="28" fillId="0" borderId="0" applyFont="0" applyFill="0" applyBorder="0" applyAlignment="0" applyProtection="0"/>
    <xf numFmtId="0" fontId="25" fillId="0" borderId="0"/>
    <xf numFmtId="0" fontId="25" fillId="0" borderId="0"/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27" fillId="0" borderId="0"/>
    <xf numFmtId="0" fontId="12" fillId="7" borderId="1" applyNumberForma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18" fillId="20" borderId="9" applyNumberFormat="0" applyAlignment="0" applyProtection="0">
      <alignment vertical="center"/>
    </xf>
    <xf numFmtId="0" fontId="25" fillId="0" borderId="0">
      <alignment vertical="top"/>
    </xf>
    <xf numFmtId="0" fontId="25" fillId="0" borderId="0">
      <alignment vertical="top"/>
    </xf>
    <xf numFmtId="0" fontId="25" fillId="0" borderId="0">
      <alignment vertical="top"/>
    </xf>
    <xf numFmtId="0" fontId="25" fillId="0" borderId="0">
      <alignment vertical="top"/>
    </xf>
  </cellStyleXfs>
  <cellXfs count="70">
    <xf numFmtId="0" fontId="0" fillId="0" borderId="0" xfId="0"/>
    <xf numFmtId="0" fontId="20" fillId="0" borderId="0" xfId="0" applyFont="1"/>
    <xf numFmtId="0" fontId="20" fillId="0" borderId="0" xfId="0" applyFont="1" applyAlignment="1" applyProtection="1">
      <alignment horizontal="left"/>
      <protection locked="0"/>
    </xf>
    <xf numFmtId="180" fontId="25" fillId="0" borderId="22" xfId="0" applyNumberFormat="1" applyFont="1" applyBorder="1" applyAlignment="1">
      <alignment horizontal="center"/>
    </xf>
    <xf numFmtId="178" fontId="25" fillId="0" borderId="23" xfId="0" applyNumberFormat="1" applyFont="1" applyBorder="1" applyAlignment="1">
      <alignment horizontal="center"/>
    </xf>
    <xf numFmtId="178" fontId="25" fillId="0" borderId="30" xfId="0" applyNumberFormat="1" applyFont="1" applyBorder="1" applyAlignment="1">
      <alignment horizontal="center"/>
    </xf>
    <xf numFmtId="14" fontId="26" fillId="0" borderId="0" xfId="0" applyNumberFormat="1" applyFont="1" applyAlignment="1">
      <alignment horizontal="center"/>
    </xf>
    <xf numFmtId="0" fontId="20" fillId="0" borderId="10" xfId="0" applyFont="1" applyBorder="1"/>
    <xf numFmtId="0" fontId="20" fillId="0" borderId="31" xfId="0" applyFont="1" applyBorder="1"/>
    <xf numFmtId="177" fontId="20" fillId="0" borderId="32" xfId="0" applyNumberFormat="1" applyFont="1" applyBorder="1" applyAlignment="1">
      <alignment horizontal="right"/>
    </xf>
    <xf numFmtId="178" fontId="20" fillId="0" borderId="23" xfId="0" applyNumberFormat="1" applyFont="1" applyBorder="1" applyAlignment="1">
      <alignment horizontal="right"/>
    </xf>
    <xf numFmtId="178" fontId="20" fillId="0" borderId="30" xfId="0" applyNumberFormat="1" applyFont="1" applyBorder="1" applyAlignment="1">
      <alignment horizontal="right"/>
    </xf>
    <xf numFmtId="0" fontId="20" fillId="0" borderId="0" xfId="0" applyFont="1" applyAlignment="1">
      <alignment horizontal="center"/>
    </xf>
    <xf numFmtId="0" fontId="25" fillId="0" borderId="0" xfId="0" applyFont="1"/>
    <xf numFmtId="0" fontId="23" fillId="0" borderId="0" xfId="0" applyFont="1"/>
    <xf numFmtId="0" fontId="26" fillId="0" borderId="0" xfId="0" applyFont="1"/>
    <xf numFmtId="0" fontId="24" fillId="0" borderId="0" xfId="0" applyFont="1"/>
    <xf numFmtId="0" fontId="26" fillId="0" borderId="0" xfId="0" applyFont="1" applyAlignment="1">
      <alignment horizontal="center"/>
    </xf>
    <xf numFmtId="0" fontId="24" fillId="0" borderId="0" xfId="0" applyFont="1" applyAlignment="1">
      <alignment horizontal="center"/>
    </xf>
    <xf numFmtId="0" fontId="30" fillId="0" borderId="0" xfId="0" applyFont="1" applyProtection="1">
      <protection locked="0"/>
    </xf>
    <xf numFmtId="0" fontId="33" fillId="0" borderId="0" xfId="0" applyFont="1"/>
    <xf numFmtId="179" fontId="30" fillId="0" borderId="0" xfId="0" applyNumberFormat="1" applyFont="1" applyProtection="1">
      <protection locked="0"/>
    </xf>
    <xf numFmtId="0" fontId="30" fillId="0" borderId="0" xfId="0" applyFont="1" applyAlignment="1" applyProtection="1">
      <alignment horizontal="left"/>
      <protection locked="0"/>
    </xf>
    <xf numFmtId="0" fontId="25" fillId="0" borderId="24" xfId="0" applyFont="1" applyBorder="1" applyAlignment="1">
      <alignment horizontal="center" vertical="center"/>
    </xf>
    <xf numFmtId="0" fontId="25" fillId="0" borderId="25" xfId="0" applyFont="1" applyBorder="1" applyAlignment="1">
      <alignment horizontal="center" vertical="center"/>
    </xf>
    <xf numFmtId="0" fontId="25" fillId="0" borderId="26" xfId="0" applyFont="1" applyBorder="1" applyAlignment="1">
      <alignment horizontal="center" vertical="center"/>
    </xf>
    <xf numFmtId="0" fontId="25" fillId="0" borderId="27" xfId="0" applyFont="1" applyBorder="1" applyAlignment="1">
      <alignment horizontal="center" vertical="center"/>
    </xf>
    <xf numFmtId="0" fontId="25" fillId="0" borderId="28" xfId="0" applyFont="1" applyBorder="1" applyAlignment="1">
      <alignment horizontal="center" vertical="center"/>
    </xf>
    <xf numFmtId="0" fontId="25" fillId="0" borderId="29" xfId="0" applyFont="1" applyBorder="1" applyAlignment="1">
      <alignment horizontal="center" vertical="center"/>
    </xf>
    <xf numFmtId="180" fontId="26" fillId="0" borderId="22" xfId="0" applyNumberFormat="1" applyFont="1" applyBorder="1" applyAlignment="1">
      <alignment horizontal="center"/>
    </xf>
    <xf numFmtId="0" fontId="34" fillId="0" borderId="0" xfId="0" applyFont="1" applyAlignment="1">
      <alignment horizontal="left" vertical="center"/>
    </xf>
    <xf numFmtId="0" fontId="20" fillId="0" borderId="11" xfId="0" applyFont="1" applyBorder="1"/>
    <xf numFmtId="0" fontId="20" fillId="0" borderId="12" xfId="0" applyFont="1" applyBorder="1"/>
    <xf numFmtId="0" fontId="20" fillId="0" borderId="13" xfId="0" applyFont="1" applyBorder="1"/>
    <xf numFmtId="180" fontId="20" fillId="0" borderId="14" xfId="0" applyNumberFormat="1" applyFont="1" applyBorder="1" applyAlignment="1">
      <alignment horizontal="center"/>
    </xf>
    <xf numFmtId="178" fontId="20" fillId="0" borderId="15" xfId="0" applyNumberFormat="1" applyFont="1" applyBorder="1" applyAlignment="1">
      <alignment horizontal="center"/>
    </xf>
    <xf numFmtId="178" fontId="20" fillId="0" borderId="16" xfId="0" applyNumberFormat="1" applyFont="1" applyBorder="1" applyAlignment="1">
      <alignment horizontal="right"/>
    </xf>
    <xf numFmtId="0" fontId="20" fillId="0" borderId="12" xfId="0" applyFont="1" applyBorder="1" applyAlignment="1">
      <alignment horizontal="right"/>
    </xf>
    <xf numFmtId="180" fontId="20" fillId="0" borderId="0" xfId="0" applyNumberFormat="1" applyFont="1" applyAlignment="1">
      <alignment horizontal="center"/>
    </xf>
    <xf numFmtId="178" fontId="20" fillId="0" borderId="17" xfId="0" applyNumberFormat="1" applyFont="1" applyBorder="1" applyAlignment="1">
      <alignment horizontal="center"/>
    </xf>
    <xf numFmtId="178" fontId="20" fillId="0" borderId="0" xfId="0" applyNumberFormat="1" applyFont="1" applyAlignment="1">
      <alignment horizontal="right"/>
    </xf>
    <xf numFmtId="0" fontId="20" fillId="0" borderId="0" xfId="0" applyFont="1" applyAlignment="1">
      <alignment horizontal="right"/>
    </xf>
    <xf numFmtId="0" fontId="25" fillId="0" borderId="10" xfId="0" applyFont="1" applyBorder="1"/>
    <xf numFmtId="178" fontId="25" fillId="0" borderId="0" xfId="0" applyNumberFormat="1" applyFont="1"/>
    <xf numFmtId="180" fontId="25" fillId="0" borderId="0" xfId="0" applyNumberFormat="1" applyFont="1" applyAlignment="1">
      <alignment horizontal="center"/>
    </xf>
    <xf numFmtId="0" fontId="20" fillId="0" borderId="17" xfId="0" applyFont="1" applyBorder="1"/>
    <xf numFmtId="0" fontId="25" fillId="0" borderId="0" xfId="0" applyFont="1" applyAlignment="1">
      <alignment vertical="center"/>
    </xf>
    <xf numFmtId="177" fontId="20" fillId="0" borderId="0" xfId="0" applyNumberFormat="1" applyFont="1" applyAlignment="1">
      <alignment horizontal="center"/>
    </xf>
    <xf numFmtId="178" fontId="20" fillId="0" borderId="18" xfId="0" applyNumberFormat="1" applyFont="1" applyBorder="1" applyAlignment="1">
      <alignment horizontal="center"/>
    </xf>
    <xf numFmtId="178" fontId="20" fillId="0" borderId="19" xfId="0" applyNumberFormat="1" applyFont="1" applyBorder="1" applyAlignment="1">
      <alignment horizontal="right"/>
    </xf>
    <xf numFmtId="0" fontId="20" fillId="0" borderId="19" xfId="0" applyFont="1" applyBorder="1"/>
    <xf numFmtId="178" fontId="25" fillId="0" borderId="20" xfId="0" applyNumberFormat="1" applyFont="1" applyBorder="1" applyAlignment="1">
      <alignment horizontal="left"/>
    </xf>
    <xf numFmtId="178" fontId="25" fillId="0" borderId="21" xfId="0" applyNumberFormat="1" applyFont="1" applyBorder="1" applyAlignment="1">
      <alignment horizontal="center"/>
    </xf>
    <xf numFmtId="178" fontId="25" fillId="0" borderId="17" xfId="0" applyNumberFormat="1" applyFont="1" applyBorder="1" applyAlignment="1">
      <alignment horizontal="left"/>
    </xf>
    <xf numFmtId="178" fontId="25" fillId="0" borderId="0" xfId="0" applyNumberFormat="1" applyFont="1" applyAlignment="1">
      <alignment horizontal="center"/>
    </xf>
    <xf numFmtId="0" fontId="32" fillId="0" borderId="0" xfId="0" applyFont="1" applyAlignment="1">
      <alignment vertical="center"/>
    </xf>
    <xf numFmtId="0" fontId="26" fillId="0" borderId="10" xfId="0" applyFont="1" applyBorder="1" applyAlignment="1">
      <alignment horizontal="center" vertical="center"/>
    </xf>
    <xf numFmtId="0" fontId="25" fillId="0" borderId="0" xfId="0" quotePrefix="1" applyFont="1"/>
    <xf numFmtId="0" fontId="26" fillId="0" borderId="0" xfId="0" applyFont="1" applyAlignment="1" applyProtection="1">
      <alignment horizontal="left"/>
      <protection locked="0"/>
    </xf>
    <xf numFmtId="0" fontId="26" fillId="0" borderId="31" xfId="0" applyFont="1" applyBorder="1"/>
    <xf numFmtId="182" fontId="25" fillId="0" borderId="23" xfId="0" applyNumberFormat="1" applyFont="1" applyBorder="1" applyAlignment="1">
      <alignment horizontal="center"/>
    </xf>
    <xf numFmtId="182" fontId="25" fillId="0" borderId="30" xfId="0" applyNumberFormat="1" applyFont="1" applyBorder="1" applyAlignment="1">
      <alignment horizontal="center"/>
    </xf>
    <xf numFmtId="0" fontId="25" fillId="0" borderId="0" xfId="0" applyFont="1" applyAlignment="1">
      <alignment horizontal="left" vertical="center"/>
    </xf>
    <xf numFmtId="0" fontId="25" fillId="0" borderId="0" xfId="0" applyFont="1" applyAlignment="1" applyProtection="1">
      <alignment horizontal="left"/>
      <protection locked="0"/>
    </xf>
    <xf numFmtId="0" fontId="25" fillId="0" borderId="31" xfId="0" applyFont="1" applyBorder="1"/>
    <xf numFmtId="0" fontId="22" fillId="0" borderId="0" xfId="0" applyFont="1" applyAlignment="1">
      <alignment horizontal="center" vertical="center"/>
    </xf>
    <xf numFmtId="178" fontId="25" fillId="0" borderId="20" xfId="0" applyNumberFormat="1" applyFont="1" applyBorder="1" applyAlignment="1">
      <alignment horizontal="center"/>
    </xf>
    <xf numFmtId="178" fontId="25" fillId="0" borderId="21" xfId="0" applyNumberFormat="1" applyFont="1" applyBorder="1" applyAlignment="1">
      <alignment horizontal="center"/>
    </xf>
    <xf numFmtId="0" fontId="20" fillId="0" borderId="0" xfId="0" applyFont="1" applyAlignment="1">
      <alignment horizontal="center"/>
    </xf>
    <xf numFmtId="180" fontId="26" fillId="0" borderId="23" xfId="0" applyNumberFormat="1" applyFont="1" applyBorder="1" applyAlignment="1">
      <alignment horizontal="center"/>
    </xf>
  </cellXfs>
  <cellStyles count="54">
    <cellStyle name="20% - 강조색1" xfId="1" builtinId="30" customBuiltin="1"/>
    <cellStyle name="20% - 강조색2" xfId="2" builtinId="34" customBuiltin="1"/>
    <cellStyle name="20% - 강조색3" xfId="3" builtinId="38" customBuiltin="1"/>
    <cellStyle name="20% - 강조색4" xfId="4" builtinId="42" customBuiltin="1"/>
    <cellStyle name="20% - 강조색5" xfId="5" builtinId="46" customBuiltin="1"/>
    <cellStyle name="20% - 강조색6" xfId="6" builtinId="50" customBuiltin="1"/>
    <cellStyle name="40% - 강조색1" xfId="7" builtinId="31" customBuiltin="1"/>
    <cellStyle name="40% - 강조색2" xfId="8" builtinId="35" customBuiltin="1"/>
    <cellStyle name="40% - 강조색3" xfId="9" builtinId="39" customBuiltin="1"/>
    <cellStyle name="40% - 강조색4" xfId="10" builtinId="43" customBuiltin="1"/>
    <cellStyle name="40% - 강조색5" xfId="11" builtinId="47" customBuiltin="1"/>
    <cellStyle name="40% - 강조색6" xfId="12" builtinId="51" customBuiltin="1"/>
    <cellStyle name="60% - 강조색1" xfId="13" builtinId="32" customBuiltin="1"/>
    <cellStyle name="60% - 강조색2" xfId="14" builtinId="36" customBuiltin="1"/>
    <cellStyle name="60% - 강조색3" xfId="15" builtinId="40" customBuiltin="1"/>
    <cellStyle name="60% - 강조색4" xfId="16" builtinId="44" customBuiltin="1"/>
    <cellStyle name="60% - 강조색5" xfId="17" builtinId="48" customBuiltin="1"/>
    <cellStyle name="60% - 강조색6" xfId="18" builtinId="52" customBuiltin="1"/>
    <cellStyle name="강조색1" xfId="19" builtinId="29" customBuiltin="1"/>
    <cellStyle name="강조색2" xfId="20" builtinId="33" customBuiltin="1"/>
    <cellStyle name="강조색3" xfId="21" builtinId="37" customBuiltin="1"/>
    <cellStyle name="강조색4" xfId="22" builtinId="41" customBuiltin="1"/>
    <cellStyle name="강조색5" xfId="23" builtinId="45" customBuiltin="1"/>
    <cellStyle name="강조색6" xfId="24" builtinId="49" customBuiltin="1"/>
    <cellStyle name="경고문" xfId="25" builtinId="11" customBuiltin="1"/>
    <cellStyle name="계산" xfId="26" builtinId="22" customBuiltin="1"/>
    <cellStyle name="나쁨" xfId="27" builtinId="27" customBuiltin="1"/>
    <cellStyle name="메모" xfId="28" builtinId="10" customBuiltin="1"/>
    <cellStyle name="보통" xfId="29" builtinId="28" customBuiltin="1"/>
    <cellStyle name="설명 텍스트" xfId="30" builtinId="53" customBuiltin="1"/>
    <cellStyle name="셀 확인" xfId="31" builtinId="23" customBuiltin="1"/>
    <cellStyle name="쉼표 [0] 2" xfId="32" xr:uid="{44ECA6D4-5621-4CA8-A124-962862972B0D}"/>
    <cellStyle name="쉼표 [0] 23" xfId="33" xr:uid="{23D64D8C-8CA7-4520-B3AA-B6D8D48CB3D9}"/>
    <cellStyle name="쉼표 [0] 23 2" xfId="34" xr:uid="{A5357B9B-7E7E-4850-8907-566055E01BA6}"/>
    <cellStyle name="쉼표 [0] 23 3" xfId="35" xr:uid="{B92875FC-265D-45B9-B182-6266FC0D1AB3}"/>
    <cellStyle name="쉼표 [0] 23 4" xfId="36" xr:uid="{6D5B1F60-8E08-4B02-83FF-5036D84E965A}"/>
    <cellStyle name="스타일 1" xfId="37" xr:uid="{5BBE5985-2013-4AE7-A59E-5E9E4AB0025C}"/>
    <cellStyle name="스타일 1 2" xfId="38" xr:uid="{24BED90B-53A3-49E7-BE71-84BEF80231BB}"/>
    <cellStyle name="연결된 셀" xfId="39" builtinId="24" customBuiltin="1"/>
    <cellStyle name="요약" xfId="40" builtinId="25" customBuiltin="1"/>
    <cellStyle name="一般_Sheet1" xfId="41" xr:uid="{E284FC75-8144-4666-BD7E-A87D51865E49}"/>
    <cellStyle name="입력" xfId="42" builtinId="20" customBuiltin="1"/>
    <cellStyle name="제목" xfId="43" builtinId="15" customBuiltin="1"/>
    <cellStyle name="제목 1" xfId="44" builtinId="16" customBuiltin="1"/>
    <cellStyle name="제목 2" xfId="45" builtinId="17" customBuiltin="1"/>
    <cellStyle name="제목 3" xfId="46" builtinId="18" customBuiltin="1"/>
    <cellStyle name="제목 4" xfId="47" builtinId="19" customBuiltin="1"/>
    <cellStyle name="좋음" xfId="48" builtinId="26" customBuiltin="1"/>
    <cellStyle name="출력" xfId="49" builtinId="21" customBuiltin="1"/>
    <cellStyle name="표준" xfId="0" builtinId="0"/>
    <cellStyle name="표준 2" xfId="50" xr:uid="{D0499386-6D74-4FC8-9A7A-2512C44191FC}"/>
    <cellStyle name="표준 2 2" xfId="51" xr:uid="{798B2811-C930-4BC2-AC40-4EE2FB29F9EE}"/>
    <cellStyle name="표준 2 3" xfId="52" xr:uid="{1F1E82F4-771D-44A4-A1C9-32516E742AFB}"/>
    <cellStyle name="표준 3 2" xfId="53" xr:uid="{EF8E8029-F775-4247-8BBE-C52B95A411D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590550</xdr:colOff>
      <xdr:row>85</xdr:row>
      <xdr:rowOff>76200</xdr:rowOff>
    </xdr:from>
    <xdr:to>
      <xdr:col>9</xdr:col>
      <xdr:colOff>685800</xdr:colOff>
      <xdr:row>91</xdr:row>
      <xdr:rowOff>133350</xdr:rowOff>
    </xdr:to>
    <xdr:pic>
      <xdr:nvPicPr>
        <xdr:cNvPr id="2213" name="Picture 1" descr="sign">
          <a:extLst>
            <a:ext uri="{FF2B5EF4-FFF2-40B4-BE49-F238E27FC236}">
              <a16:creationId xmlns:a16="http://schemas.microsoft.com/office/drawing/2014/main" id="{2A371994-0AE0-42CD-B7F9-D0E57C813A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-194382">
          <a:off x="5248275" y="15516225"/>
          <a:ext cx="2333625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Xp\&#44277;&#50976;%20&#47928;&#49436;\&#45236;%20&#47928;&#49436;\&#48156;&#51452;%20&#54788;&#54889;\Weekly%20Production%20Schedule%20import%20template(SOLTO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11년"/>
      <sheetName val="SAMPLE"/>
      <sheetName val="2012년"/>
      <sheetName val="MAR'11 PLAN"/>
      <sheetName val="Sheet1 (2)"/>
      <sheetName val="Sheet1"/>
      <sheetName val="APR'11 PLAN"/>
      <sheetName val="Options"/>
      <sheetName val="Sheet2"/>
      <sheetName val="Sheet4"/>
      <sheetName val="Sheet3"/>
      <sheetName val="Sheet5"/>
      <sheetName val="Sheet6"/>
      <sheetName val="MW SAMPLE"/>
      <sheetName val="ES SAMPL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2">
          <cell r="B2">
            <v>0</v>
          </cell>
          <cell r="C2">
            <v>36526</v>
          </cell>
          <cell r="D2" t="str">
            <v>Late PO</v>
          </cell>
          <cell r="F2" t="str">
            <v xml:space="preserve">Logo Jacquard </v>
          </cell>
        </row>
        <row r="3">
          <cell r="B3">
            <v>99999999999</v>
          </cell>
          <cell r="C3">
            <v>72686</v>
          </cell>
          <cell r="D3" t="str">
            <v>Late Approval</v>
          </cell>
          <cell r="F3" t="str">
            <v>Prints</v>
          </cell>
        </row>
        <row r="4">
          <cell r="D4" t="str">
            <v>Late Pay</v>
          </cell>
          <cell r="F4" t="str">
            <v>PVC</v>
          </cell>
        </row>
        <row r="5">
          <cell r="D5" t="str">
            <v>RMS Delay</v>
          </cell>
          <cell r="F5" t="str">
            <v>PU/Coated Canvas</v>
          </cell>
        </row>
        <row r="6">
          <cell r="D6" t="str">
            <v>SP Hold</v>
          </cell>
          <cell r="F6" t="str">
            <v>Other shell</v>
          </cell>
        </row>
        <row r="7">
          <cell r="D7" t="str">
            <v>New Add</v>
          </cell>
          <cell r="F7" t="str">
            <v>Misc Shell</v>
          </cell>
        </row>
        <row r="8">
          <cell r="F8" t="str">
            <v>Asian Faille</v>
          </cell>
        </row>
        <row r="9">
          <cell r="F9" t="str">
            <v>Non logo</v>
          </cell>
        </row>
        <row r="10">
          <cell r="F10" t="str">
            <v>Polysatin</v>
          </cell>
        </row>
        <row r="11">
          <cell r="F11" t="str">
            <v>Prints lining</v>
          </cell>
        </row>
        <row r="12">
          <cell r="F12" t="str">
            <v>Other lining</v>
          </cell>
        </row>
        <row r="13">
          <cell r="F13" t="str">
            <v>Rayon webbing</v>
          </cell>
        </row>
        <row r="14">
          <cell r="F14" t="str">
            <v>Grossgrain</v>
          </cell>
        </row>
        <row r="15">
          <cell r="F15" t="str">
            <v>Acrylic</v>
          </cell>
        </row>
        <row r="16">
          <cell r="F16" t="str">
            <v>Logo Webbing</v>
          </cell>
        </row>
        <row r="17">
          <cell r="F17" t="str">
            <v>Other webbing</v>
          </cell>
        </row>
        <row r="18">
          <cell r="F18" t="str">
            <v>Other webbing</v>
          </cell>
        </row>
        <row r="19">
          <cell r="F19" t="str">
            <v>Label</v>
          </cell>
        </row>
        <row r="20">
          <cell r="F20" t="str">
            <v>Misc Woven Trim</v>
          </cell>
        </row>
        <row r="21">
          <cell r="F21" t="str">
            <v>Other webbing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68F6D8-DCA8-4EC4-BADB-785A49BE3318}">
  <sheetPr codeName="Sheet1"/>
  <dimension ref="B1:J101"/>
  <sheetViews>
    <sheetView tabSelected="1" zoomScale="115" zoomScaleNormal="115" workbookViewId="0">
      <selection activeCell="I13" sqref="I13"/>
    </sheetView>
  </sheetViews>
  <sheetFormatPr defaultRowHeight="14.25" x14ac:dyDescent="0.2"/>
  <cols>
    <col min="1" max="1" width="0.88671875" style="1" customWidth="1"/>
    <col min="2" max="2" width="8.5546875" style="1" customWidth="1"/>
    <col min="3" max="3" width="2.6640625" style="1" customWidth="1"/>
    <col min="4" max="4" width="8.88671875" style="1"/>
    <col min="5" max="5" width="13.33203125" style="1" customWidth="1"/>
    <col min="6" max="6" width="6.5546875" style="1" customWidth="1"/>
    <col min="7" max="7" width="13.44140625" style="1" customWidth="1"/>
    <col min="8" max="8" width="11.5546875" style="1" customWidth="1"/>
    <col min="9" max="9" width="14.5546875" style="1" customWidth="1"/>
    <col min="10" max="10" width="20.88671875" style="1" customWidth="1"/>
    <col min="11" max="11" width="25.33203125" style="1" customWidth="1"/>
    <col min="12" max="12" width="22" style="1" bestFit="1" customWidth="1"/>
    <col min="13" max="13" width="9.33203125" style="1" customWidth="1"/>
    <col min="14" max="14" width="13.44140625" style="1" bestFit="1" customWidth="1"/>
    <col min="15" max="15" width="9.5546875" style="1" bestFit="1" customWidth="1"/>
    <col min="16" max="16384" width="8.88671875" style="1"/>
  </cols>
  <sheetData>
    <row r="1" spans="2:10" ht="3" customHeight="1" x14ac:dyDescent="0.2"/>
    <row r="2" spans="2:10" ht="36.75" customHeight="1" x14ac:dyDescent="0.2">
      <c r="F2" s="65" t="s">
        <v>13</v>
      </c>
      <c r="G2" s="65"/>
      <c r="H2" s="65"/>
    </row>
    <row r="3" spans="2:10" x14ac:dyDescent="0.2">
      <c r="B3" s="13" t="s">
        <v>42</v>
      </c>
      <c r="J3" s="13" t="s">
        <v>14</v>
      </c>
    </row>
    <row r="4" spans="2:10" x14ac:dyDescent="0.2">
      <c r="B4" s="13" t="s">
        <v>32</v>
      </c>
      <c r="J4" s="13" t="s">
        <v>15</v>
      </c>
    </row>
    <row r="5" spans="2:10" x14ac:dyDescent="0.2">
      <c r="B5" s="13" t="s">
        <v>33</v>
      </c>
    </row>
    <row r="6" spans="2:10" ht="9" customHeight="1" x14ac:dyDescent="0.2"/>
    <row r="7" spans="2:10" ht="20.25" x14ac:dyDescent="0.3">
      <c r="E7" s="14"/>
      <c r="F7" s="14" t="s">
        <v>0</v>
      </c>
    </row>
    <row r="8" spans="2:10" ht="15" x14ac:dyDescent="0.25">
      <c r="B8" s="15" t="s">
        <v>39</v>
      </c>
      <c r="C8" s="13"/>
      <c r="D8" s="15" t="s">
        <v>40</v>
      </c>
      <c r="E8" s="13"/>
      <c r="F8" s="16"/>
      <c r="J8" s="17" t="s">
        <v>38</v>
      </c>
    </row>
    <row r="9" spans="2:10" ht="15" x14ac:dyDescent="0.25">
      <c r="B9" s="15"/>
      <c r="C9" s="13"/>
      <c r="D9" s="15"/>
      <c r="F9" s="16"/>
      <c r="J9" s="18"/>
    </row>
    <row r="10" spans="2:10" ht="15" x14ac:dyDescent="0.25">
      <c r="B10" s="15" t="s">
        <v>41</v>
      </c>
      <c r="F10" s="16"/>
    </row>
    <row r="11" spans="2:10" x14ac:dyDescent="0.2">
      <c r="B11" s="13"/>
    </row>
    <row r="12" spans="2:10" ht="17.25" customHeight="1" x14ac:dyDescent="0.2">
      <c r="F12" s="68" t="s">
        <v>27</v>
      </c>
      <c r="G12" s="68"/>
      <c r="H12" s="68"/>
    </row>
    <row r="13" spans="2:10" x14ac:dyDescent="0.2">
      <c r="F13" s="68" t="s">
        <v>1</v>
      </c>
      <c r="G13" s="68"/>
      <c r="H13" s="68"/>
    </row>
    <row r="14" spans="2:10" ht="13.5" customHeight="1" x14ac:dyDescent="0.2">
      <c r="B14" s="13" t="s">
        <v>2</v>
      </c>
      <c r="C14" s="13"/>
      <c r="D14" s="13"/>
      <c r="E14" s="13"/>
      <c r="F14" s="13"/>
      <c r="G14" s="13"/>
      <c r="H14" s="13"/>
      <c r="I14" s="13"/>
    </row>
    <row r="15" spans="2:10" ht="17.25" customHeight="1" x14ac:dyDescent="0.2">
      <c r="B15" s="13" t="s">
        <v>3</v>
      </c>
      <c r="C15" s="13"/>
      <c r="D15" s="13"/>
      <c r="E15" s="13"/>
      <c r="F15" s="13"/>
      <c r="G15" s="13"/>
      <c r="H15" s="13"/>
      <c r="I15" s="13"/>
    </row>
    <row r="16" spans="2:10" ht="17.25" customHeight="1" x14ac:dyDescent="0.2">
      <c r="B16" s="13" t="s">
        <v>29</v>
      </c>
      <c r="C16" s="13"/>
      <c r="D16" s="13"/>
      <c r="E16" s="13"/>
      <c r="F16" s="13"/>
      <c r="G16" s="13"/>
      <c r="H16" s="13"/>
      <c r="I16" s="13"/>
    </row>
    <row r="17" spans="2:10" ht="17.25" customHeight="1" x14ac:dyDescent="0.2">
      <c r="B17" s="13" t="s">
        <v>4</v>
      </c>
      <c r="C17" s="13"/>
      <c r="D17" s="13"/>
      <c r="E17" s="13"/>
      <c r="F17" s="13"/>
      <c r="G17" s="13"/>
      <c r="H17" s="13"/>
      <c r="I17" s="13"/>
    </row>
    <row r="18" spans="2:10" ht="17.25" customHeight="1" x14ac:dyDescent="0.2">
      <c r="B18" s="13" t="s">
        <v>34</v>
      </c>
      <c r="C18" s="13"/>
      <c r="D18" s="13"/>
      <c r="E18" s="13"/>
      <c r="F18" s="13"/>
      <c r="G18" s="13"/>
      <c r="H18" s="13"/>
      <c r="I18" s="13"/>
    </row>
    <row r="19" spans="2:10" ht="17.25" customHeight="1" x14ac:dyDescent="0.2">
      <c r="B19" s="13" t="s">
        <v>43</v>
      </c>
      <c r="C19" s="13"/>
      <c r="D19" s="13"/>
      <c r="E19" s="13"/>
      <c r="F19" s="13"/>
      <c r="G19" s="13"/>
      <c r="H19" s="19"/>
      <c r="I19" s="20"/>
    </row>
    <row r="20" spans="2:10" ht="17.25" customHeight="1" x14ac:dyDescent="0.2">
      <c r="B20" s="13" t="s">
        <v>30</v>
      </c>
      <c r="C20" s="13"/>
      <c r="D20" s="13"/>
      <c r="E20" s="13"/>
      <c r="F20" s="13"/>
      <c r="G20" s="13"/>
      <c r="H20" s="19"/>
      <c r="I20" s="21"/>
    </row>
    <row r="21" spans="2:10" ht="17.25" customHeight="1" x14ac:dyDescent="0.2">
      <c r="B21" s="13" t="s">
        <v>5</v>
      </c>
      <c r="C21" s="13"/>
      <c r="D21" s="13"/>
      <c r="E21" s="13"/>
      <c r="F21" s="13"/>
      <c r="G21" s="13"/>
      <c r="H21" s="19"/>
      <c r="I21" s="21"/>
    </row>
    <row r="22" spans="2:10" ht="17.25" customHeight="1" x14ac:dyDescent="0.2">
      <c r="B22" s="13" t="s">
        <v>6</v>
      </c>
      <c r="C22" s="13"/>
      <c r="D22" s="13"/>
      <c r="E22" s="13"/>
      <c r="F22" s="13"/>
      <c r="G22" s="13"/>
      <c r="H22" s="19"/>
      <c r="I22" s="21"/>
    </row>
    <row r="23" spans="2:10" ht="17.25" customHeight="1" x14ac:dyDescent="0.2">
      <c r="B23" s="13" t="s">
        <v>7</v>
      </c>
      <c r="C23" s="13"/>
      <c r="D23" s="13"/>
      <c r="E23" s="13"/>
      <c r="F23" s="13"/>
      <c r="G23" s="13"/>
      <c r="H23" s="19"/>
      <c r="I23" s="21"/>
      <c r="J23" s="22"/>
    </row>
    <row r="24" spans="2:10" ht="17.25" customHeight="1" x14ac:dyDescent="0.2">
      <c r="B24" s="13" t="s">
        <v>8</v>
      </c>
      <c r="C24" s="13"/>
      <c r="D24" s="13"/>
      <c r="E24" s="13"/>
      <c r="F24" s="13"/>
      <c r="G24" s="13"/>
      <c r="H24" s="19"/>
      <c r="I24" s="21"/>
      <c r="J24" s="21"/>
    </row>
    <row r="25" spans="2:10" ht="17.25" customHeight="1" thickBot="1" x14ac:dyDescent="0.25">
      <c r="B25" s="13" t="s">
        <v>28</v>
      </c>
      <c r="C25" s="13"/>
      <c r="D25" s="13"/>
      <c r="E25" s="13"/>
      <c r="F25" s="13"/>
      <c r="G25" s="13"/>
      <c r="H25" s="13"/>
      <c r="I25" s="13"/>
      <c r="J25" s="13"/>
    </row>
    <row r="26" spans="2:10" ht="14.25" customHeight="1" thickTop="1" thickBot="1" x14ac:dyDescent="0.25">
      <c r="B26" s="23" t="s">
        <v>31</v>
      </c>
      <c r="C26" s="24"/>
      <c r="D26" s="24"/>
      <c r="E26" s="24" t="s">
        <v>9</v>
      </c>
      <c r="F26" s="25"/>
      <c r="G26" s="26" t="s">
        <v>10</v>
      </c>
      <c r="H26" s="27" t="s">
        <v>11</v>
      </c>
      <c r="I26" s="28" t="s">
        <v>24</v>
      </c>
      <c r="J26" s="24" t="s">
        <v>12</v>
      </c>
    </row>
    <row r="27" spans="2:10" ht="15.75" customHeight="1" thickTop="1" x14ac:dyDescent="0.2">
      <c r="B27" s="7"/>
      <c r="F27" s="8"/>
      <c r="G27" s="9"/>
      <c r="H27" s="10"/>
      <c r="I27" s="11"/>
      <c r="J27" s="12"/>
    </row>
    <row r="28" spans="2:10" s="13" customFormat="1" ht="13.5" customHeight="1" x14ac:dyDescent="0.2">
      <c r="B28" s="56" t="s">
        <v>35</v>
      </c>
      <c r="C28" s="57"/>
      <c r="D28" s="58" t="s">
        <v>36</v>
      </c>
      <c r="F28" s="59"/>
      <c r="G28" s="3"/>
      <c r="H28" s="60"/>
      <c r="I28" s="61"/>
      <c r="J28" s="6"/>
    </row>
    <row r="29" spans="2:10" s="13" customFormat="1" ht="13.5" customHeight="1" x14ac:dyDescent="0.2">
      <c r="B29" s="56"/>
      <c r="C29" s="57"/>
      <c r="D29" s="62" t="s">
        <v>37</v>
      </c>
      <c r="E29" s="63"/>
      <c r="F29" s="59"/>
      <c r="G29" s="3">
        <v>77</v>
      </c>
      <c r="H29" s="4">
        <v>8.8000000000000007</v>
      </c>
      <c r="I29" s="5">
        <f>G29*H29</f>
        <v>677.6</v>
      </c>
      <c r="J29" s="6">
        <v>45796</v>
      </c>
    </row>
    <row r="30" spans="2:10" s="13" customFormat="1" ht="13.5" customHeight="1" x14ac:dyDescent="0.2">
      <c r="B30" s="56"/>
      <c r="C30" s="57"/>
      <c r="D30" s="62"/>
      <c r="E30" s="63"/>
      <c r="F30" s="63"/>
      <c r="G30" s="3"/>
      <c r="H30" s="69"/>
      <c r="I30" s="5"/>
      <c r="J30" s="29"/>
    </row>
    <row r="31" spans="2:10" s="13" customFormat="1" ht="13.5" customHeight="1" x14ac:dyDescent="0.2">
      <c r="B31" s="56"/>
      <c r="C31" s="57"/>
      <c r="D31" s="58"/>
      <c r="F31" s="64"/>
      <c r="G31" s="3"/>
      <c r="H31" s="60"/>
      <c r="I31" s="61"/>
      <c r="J31" s="6"/>
    </row>
    <row r="32" spans="2:10" s="13" customFormat="1" ht="13.5" customHeight="1" x14ac:dyDescent="0.2">
      <c r="B32" s="56"/>
      <c r="C32" s="57"/>
      <c r="D32" s="58"/>
      <c r="F32" s="64"/>
      <c r="G32" s="3"/>
      <c r="H32" s="60"/>
      <c r="I32" s="61"/>
      <c r="J32" s="6"/>
    </row>
    <row r="33" spans="2:10" s="13" customFormat="1" ht="13.5" customHeight="1" x14ac:dyDescent="0.2">
      <c r="B33" s="56"/>
      <c r="C33" s="57"/>
      <c r="D33" s="58"/>
      <c r="F33" s="64"/>
      <c r="G33" s="3"/>
      <c r="H33" s="60"/>
      <c r="I33" s="61"/>
      <c r="J33" s="6"/>
    </row>
    <row r="34" spans="2:10" s="13" customFormat="1" ht="13.5" customHeight="1" x14ac:dyDescent="0.2">
      <c r="B34" s="56"/>
      <c r="C34" s="57"/>
      <c r="D34" s="62"/>
      <c r="E34" s="63"/>
      <c r="F34" s="63"/>
      <c r="G34" s="3"/>
      <c r="H34" s="4"/>
      <c r="I34" s="5"/>
      <c r="J34" s="6"/>
    </row>
    <row r="35" spans="2:10" s="13" customFormat="1" ht="13.5" customHeight="1" x14ac:dyDescent="0.2">
      <c r="B35" s="56"/>
      <c r="C35" s="57"/>
      <c r="D35" s="62"/>
      <c r="E35" s="63"/>
      <c r="F35" s="63"/>
      <c r="G35" s="3"/>
      <c r="H35" s="4"/>
      <c r="I35" s="5"/>
      <c r="J35" s="6"/>
    </row>
    <row r="36" spans="2:10" s="13" customFormat="1" ht="13.5" customHeight="1" x14ac:dyDescent="0.2">
      <c r="B36" s="56"/>
      <c r="C36" s="57"/>
      <c r="D36" s="62"/>
      <c r="E36" s="63"/>
      <c r="F36" s="63"/>
      <c r="G36" s="3"/>
      <c r="H36" s="4"/>
      <c r="I36" s="5"/>
      <c r="J36" s="6"/>
    </row>
    <row r="37" spans="2:10" s="13" customFormat="1" ht="13.5" customHeight="1" x14ac:dyDescent="0.2">
      <c r="B37" s="56"/>
      <c r="C37" s="57"/>
      <c r="D37" s="62"/>
      <c r="E37" s="63"/>
      <c r="F37" s="63"/>
      <c r="G37" s="3"/>
      <c r="H37" s="4"/>
      <c r="I37" s="5"/>
      <c r="J37" s="6"/>
    </row>
    <row r="38" spans="2:10" s="13" customFormat="1" ht="13.5" customHeight="1" x14ac:dyDescent="0.2">
      <c r="B38" s="56"/>
      <c r="C38" s="57"/>
      <c r="D38" s="58"/>
      <c r="F38" s="64"/>
      <c r="G38" s="3"/>
      <c r="H38" s="60"/>
      <c r="I38" s="61"/>
      <c r="J38" s="6"/>
    </row>
    <row r="39" spans="2:10" s="13" customFormat="1" ht="13.5" customHeight="1" x14ac:dyDescent="0.2">
      <c r="B39" s="56"/>
      <c r="C39" s="57"/>
      <c r="D39" s="62"/>
      <c r="E39" s="63"/>
      <c r="F39" s="63"/>
      <c r="G39" s="3"/>
      <c r="H39" s="4"/>
      <c r="I39" s="5"/>
      <c r="J39" s="6"/>
    </row>
    <row r="40" spans="2:10" s="13" customFormat="1" ht="13.5" customHeight="1" x14ac:dyDescent="0.2">
      <c r="B40" s="56"/>
      <c r="C40" s="57"/>
      <c r="D40" s="62"/>
      <c r="E40" s="63"/>
      <c r="F40" s="63"/>
      <c r="G40" s="3"/>
      <c r="H40" s="4"/>
      <c r="I40" s="5"/>
      <c r="J40" s="6"/>
    </row>
    <row r="41" spans="2:10" s="13" customFormat="1" ht="13.5" customHeight="1" x14ac:dyDescent="0.2">
      <c r="B41" s="56"/>
      <c r="C41" s="57"/>
      <c r="D41" s="62"/>
      <c r="E41" s="63"/>
      <c r="F41" s="63"/>
      <c r="G41" s="3"/>
      <c r="H41" s="4"/>
      <c r="I41" s="5"/>
      <c r="J41" s="6"/>
    </row>
    <row r="42" spans="2:10" s="13" customFormat="1" ht="13.5" customHeight="1" x14ac:dyDescent="0.2">
      <c r="B42" s="56"/>
      <c r="C42" s="57"/>
      <c r="D42" s="58"/>
      <c r="F42" s="64"/>
      <c r="G42" s="3"/>
      <c r="H42" s="60"/>
      <c r="I42" s="61"/>
      <c r="J42" s="6"/>
    </row>
    <row r="43" spans="2:10" s="13" customFormat="1" ht="13.5" customHeight="1" x14ac:dyDescent="0.2">
      <c r="B43" s="56"/>
      <c r="C43" s="57"/>
      <c r="D43" s="62"/>
      <c r="E43" s="63"/>
      <c r="F43" s="63"/>
      <c r="G43" s="3"/>
      <c r="H43" s="4"/>
      <c r="I43" s="5"/>
      <c r="J43" s="6"/>
    </row>
    <row r="44" spans="2:10" s="13" customFormat="1" ht="13.5" customHeight="1" x14ac:dyDescent="0.2">
      <c r="B44" s="56"/>
      <c r="C44" s="57"/>
      <c r="D44" s="62"/>
      <c r="E44" s="63"/>
      <c r="F44" s="63"/>
      <c r="G44" s="3"/>
      <c r="H44" s="4"/>
      <c r="I44" s="5"/>
      <c r="J44" s="6"/>
    </row>
    <row r="45" spans="2:10" s="13" customFormat="1" ht="13.5" customHeight="1" x14ac:dyDescent="0.2">
      <c r="B45" s="56"/>
      <c r="C45" s="57"/>
      <c r="D45" s="62"/>
      <c r="E45" s="63"/>
      <c r="F45" s="63"/>
      <c r="G45" s="3"/>
      <c r="H45" s="4"/>
      <c r="I45" s="5"/>
      <c r="J45" s="6"/>
    </row>
    <row r="46" spans="2:10" s="13" customFormat="1" ht="13.5" customHeight="1" x14ac:dyDescent="0.2">
      <c r="B46" s="56"/>
      <c r="C46" s="57"/>
      <c r="D46" s="62"/>
      <c r="E46" s="63"/>
      <c r="F46" s="63"/>
      <c r="G46" s="3"/>
      <c r="H46" s="4"/>
      <c r="I46" s="5"/>
      <c r="J46" s="6"/>
    </row>
    <row r="47" spans="2:10" s="13" customFormat="1" ht="13.5" customHeight="1" x14ac:dyDescent="0.2">
      <c r="B47" s="56"/>
      <c r="C47" s="57"/>
      <c r="D47" s="62"/>
      <c r="E47" s="63"/>
      <c r="F47" s="63"/>
      <c r="G47" s="3"/>
      <c r="H47" s="4"/>
      <c r="I47" s="5"/>
      <c r="J47" s="6"/>
    </row>
    <row r="48" spans="2:10" s="13" customFormat="1" ht="13.5" customHeight="1" x14ac:dyDescent="0.2">
      <c r="B48" s="56"/>
      <c r="C48" s="57"/>
      <c r="D48" s="62"/>
      <c r="E48" s="63"/>
      <c r="F48" s="63"/>
      <c r="G48" s="3"/>
      <c r="H48" s="4"/>
      <c r="I48" s="5"/>
      <c r="J48" s="6"/>
    </row>
    <row r="49" spans="2:10" s="13" customFormat="1" ht="13.5" customHeight="1" x14ac:dyDescent="0.2">
      <c r="B49" s="56"/>
      <c r="C49" s="57"/>
      <c r="D49" s="62"/>
      <c r="E49" s="63"/>
      <c r="F49" s="63"/>
      <c r="G49" s="3"/>
      <c r="H49" s="4"/>
      <c r="I49" s="5"/>
      <c r="J49" s="6"/>
    </row>
    <row r="50" spans="2:10" s="13" customFormat="1" ht="13.5" customHeight="1" x14ac:dyDescent="0.2">
      <c r="B50" s="56"/>
      <c r="C50" s="57"/>
      <c r="D50" s="62"/>
      <c r="E50" s="63"/>
      <c r="F50" s="63"/>
      <c r="G50" s="3"/>
      <c r="H50" s="4"/>
      <c r="I50" s="5"/>
      <c r="J50" s="6"/>
    </row>
    <row r="51" spans="2:10" s="13" customFormat="1" ht="13.5" customHeight="1" x14ac:dyDescent="0.2">
      <c r="B51" s="56"/>
      <c r="C51" s="57"/>
      <c r="D51" s="62"/>
      <c r="E51" s="63"/>
      <c r="F51" s="63"/>
      <c r="G51" s="3"/>
      <c r="H51" s="4"/>
      <c r="I51" s="5"/>
      <c r="J51" s="6"/>
    </row>
    <row r="52" spans="2:10" s="13" customFormat="1" ht="13.5" customHeight="1" x14ac:dyDescent="0.2">
      <c r="B52" s="56"/>
      <c r="C52" s="57"/>
      <c r="D52" s="62"/>
      <c r="E52" s="63"/>
      <c r="F52" s="63"/>
      <c r="G52" s="3"/>
      <c r="H52" s="4"/>
      <c r="I52" s="5"/>
      <c r="J52" s="6"/>
    </row>
    <row r="53" spans="2:10" s="13" customFormat="1" ht="13.5" customHeight="1" x14ac:dyDescent="0.2">
      <c r="B53" s="56"/>
      <c r="C53" s="57"/>
      <c r="D53" s="62"/>
      <c r="E53" s="63"/>
      <c r="F53" s="63"/>
      <c r="G53" s="3"/>
      <c r="H53" s="4"/>
      <c r="I53" s="5"/>
      <c r="J53" s="6"/>
    </row>
    <row r="54" spans="2:10" s="13" customFormat="1" ht="13.5" customHeight="1" x14ac:dyDescent="0.2">
      <c r="B54" s="56"/>
      <c r="C54" s="57"/>
      <c r="D54" s="62"/>
      <c r="E54" s="63"/>
      <c r="F54" s="63"/>
      <c r="G54" s="3"/>
      <c r="H54" s="4"/>
      <c r="I54" s="5"/>
      <c r="J54" s="6"/>
    </row>
    <row r="55" spans="2:10" s="13" customFormat="1" ht="13.5" customHeight="1" x14ac:dyDescent="0.2">
      <c r="B55" s="56"/>
      <c r="C55" s="57"/>
      <c r="D55" s="62"/>
      <c r="E55" s="63"/>
      <c r="F55" s="63"/>
      <c r="G55" s="3"/>
      <c r="H55" s="4"/>
      <c r="I55" s="5"/>
      <c r="J55" s="6"/>
    </row>
    <row r="56" spans="2:10" s="13" customFormat="1" ht="13.5" customHeight="1" x14ac:dyDescent="0.2">
      <c r="B56" s="56"/>
      <c r="C56" s="57"/>
      <c r="D56" s="62"/>
      <c r="E56" s="63"/>
      <c r="F56" s="63"/>
      <c r="G56" s="3"/>
      <c r="H56" s="4"/>
      <c r="I56" s="5"/>
      <c r="J56" s="6"/>
    </row>
    <row r="57" spans="2:10" s="13" customFormat="1" ht="13.5" customHeight="1" x14ac:dyDescent="0.2">
      <c r="B57" s="56"/>
      <c r="C57" s="57"/>
      <c r="D57" s="62"/>
      <c r="E57" s="63"/>
      <c r="F57" s="63"/>
      <c r="G57" s="3"/>
      <c r="H57" s="4"/>
      <c r="I57" s="5"/>
      <c r="J57" s="6"/>
    </row>
    <row r="58" spans="2:10" s="13" customFormat="1" ht="13.5" customHeight="1" x14ac:dyDescent="0.2">
      <c r="B58" s="56"/>
      <c r="C58" s="57"/>
      <c r="D58" s="62"/>
      <c r="E58" s="63"/>
      <c r="F58" s="63"/>
      <c r="G58" s="3"/>
      <c r="H58" s="4"/>
      <c r="I58" s="5"/>
      <c r="J58" s="6"/>
    </row>
    <row r="59" spans="2:10" s="13" customFormat="1" ht="13.5" customHeight="1" x14ac:dyDescent="0.2">
      <c r="B59" s="56"/>
      <c r="C59" s="57"/>
      <c r="D59" s="62"/>
      <c r="E59" s="63"/>
      <c r="F59" s="63"/>
      <c r="G59" s="3"/>
      <c r="H59" s="4"/>
      <c r="I59" s="5"/>
      <c r="J59" s="6"/>
    </row>
    <row r="60" spans="2:10" s="13" customFormat="1" ht="13.5" customHeight="1" x14ac:dyDescent="0.2">
      <c r="B60" s="56"/>
      <c r="C60" s="57"/>
      <c r="D60" s="62"/>
      <c r="E60" s="63"/>
      <c r="F60" s="63"/>
      <c r="G60" s="3"/>
      <c r="H60" s="4"/>
      <c r="I60" s="5"/>
      <c r="J60" s="6"/>
    </row>
    <row r="61" spans="2:10" s="13" customFormat="1" ht="13.5" customHeight="1" x14ac:dyDescent="0.2">
      <c r="B61" s="56"/>
      <c r="C61" s="57"/>
      <c r="D61" s="62"/>
      <c r="E61" s="63"/>
      <c r="F61" s="63"/>
      <c r="G61" s="3"/>
      <c r="H61" s="4"/>
      <c r="I61" s="5"/>
      <c r="J61" s="6"/>
    </row>
    <row r="62" spans="2:10" s="13" customFormat="1" ht="13.5" customHeight="1" x14ac:dyDescent="0.2">
      <c r="B62" s="56"/>
      <c r="C62" s="57"/>
      <c r="D62" s="62"/>
      <c r="E62" s="63"/>
      <c r="F62" s="63"/>
      <c r="G62" s="3"/>
      <c r="H62" s="4"/>
      <c r="I62" s="5"/>
      <c r="J62" s="6"/>
    </row>
    <row r="63" spans="2:10" s="13" customFormat="1" ht="13.5" customHeight="1" x14ac:dyDescent="0.2">
      <c r="B63" s="56"/>
      <c r="C63" s="57"/>
      <c r="D63" s="62"/>
      <c r="E63" s="63"/>
      <c r="F63" s="63"/>
      <c r="G63" s="3"/>
      <c r="H63" s="4"/>
      <c r="I63" s="5"/>
      <c r="J63" s="6"/>
    </row>
    <row r="64" spans="2:10" s="13" customFormat="1" ht="13.5" customHeight="1" x14ac:dyDescent="0.2">
      <c r="B64" s="56"/>
      <c r="C64" s="57"/>
      <c r="D64" s="62"/>
      <c r="E64" s="63"/>
      <c r="F64" s="63"/>
      <c r="G64" s="3"/>
      <c r="H64" s="4"/>
      <c r="I64" s="5"/>
      <c r="J64" s="6"/>
    </row>
    <row r="65" spans="2:10" s="13" customFormat="1" ht="13.5" customHeight="1" x14ac:dyDescent="0.2">
      <c r="B65" s="56"/>
      <c r="C65" s="57"/>
      <c r="D65" s="62"/>
      <c r="E65" s="63"/>
      <c r="F65" s="63"/>
      <c r="G65" s="3"/>
      <c r="H65" s="4"/>
      <c r="I65" s="5"/>
      <c r="J65" s="6"/>
    </row>
    <row r="66" spans="2:10" s="13" customFormat="1" ht="13.5" customHeight="1" x14ac:dyDescent="0.2">
      <c r="B66" s="56"/>
      <c r="C66" s="57"/>
      <c r="D66" s="62"/>
      <c r="E66" s="63"/>
      <c r="F66" s="63"/>
      <c r="G66" s="3"/>
      <c r="H66" s="4"/>
      <c r="I66" s="5"/>
      <c r="J66" s="6"/>
    </row>
    <row r="67" spans="2:10" s="13" customFormat="1" ht="13.5" customHeight="1" x14ac:dyDescent="0.2">
      <c r="B67" s="56"/>
      <c r="C67" s="57"/>
      <c r="D67" s="62"/>
      <c r="E67" s="63"/>
      <c r="F67" s="63"/>
      <c r="G67" s="3"/>
      <c r="H67" s="4"/>
      <c r="I67" s="5"/>
      <c r="J67" s="6"/>
    </row>
    <row r="68" spans="2:10" s="13" customFormat="1" ht="13.5" customHeight="1" x14ac:dyDescent="0.2">
      <c r="B68" s="56"/>
      <c r="C68" s="57"/>
      <c r="D68" s="62"/>
      <c r="E68" s="63"/>
      <c r="F68" s="63"/>
      <c r="G68" s="3"/>
      <c r="H68" s="4"/>
      <c r="I68" s="5"/>
      <c r="J68" s="6"/>
    </row>
    <row r="69" spans="2:10" s="13" customFormat="1" ht="13.5" customHeight="1" x14ac:dyDescent="0.2">
      <c r="B69" s="56"/>
      <c r="C69" s="57"/>
      <c r="D69" s="62"/>
      <c r="E69" s="63"/>
      <c r="F69" s="63"/>
      <c r="G69" s="3"/>
      <c r="H69" s="4"/>
      <c r="I69" s="5"/>
      <c r="J69" s="6"/>
    </row>
    <row r="70" spans="2:10" s="13" customFormat="1" ht="13.5" customHeight="1" x14ac:dyDescent="0.2">
      <c r="B70" s="56"/>
      <c r="C70" s="57"/>
      <c r="D70" s="62"/>
      <c r="E70" s="63"/>
      <c r="F70" s="63"/>
      <c r="G70" s="3"/>
      <c r="H70" s="4"/>
      <c r="I70" s="5"/>
      <c r="J70" s="6"/>
    </row>
    <row r="71" spans="2:10" s="13" customFormat="1" ht="13.5" customHeight="1" x14ac:dyDescent="0.2">
      <c r="B71" s="56"/>
      <c r="C71" s="57"/>
      <c r="D71" s="62"/>
      <c r="E71" s="63"/>
      <c r="F71" s="63"/>
      <c r="G71" s="3"/>
      <c r="H71" s="4"/>
      <c r="I71" s="5"/>
      <c r="J71" s="6"/>
    </row>
    <row r="72" spans="2:10" s="13" customFormat="1" ht="13.5" customHeight="1" x14ac:dyDescent="0.2">
      <c r="B72" s="56"/>
      <c r="C72" s="57"/>
      <c r="D72" s="62"/>
      <c r="E72" s="63"/>
      <c r="F72" s="63"/>
      <c r="G72" s="3"/>
      <c r="H72" s="4"/>
      <c r="I72" s="5"/>
      <c r="J72" s="6"/>
    </row>
    <row r="73" spans="2:10" s="13" customFormat="1" ht="13.5" customHeight="1" x14ac:dyDescent="0.2">
      <c r="B73" s="56"/>
      <c r="C73" s="57"/>
      <c r="D73" s="62"/>
      <c r="E73" s="63"/>
      <c r="F73" s="63"/>
      <c r="G73" s="3"/>
      <c r="H73" s="4"/>
      <c r="I73" s="5"/>
      <c r="J73" s="6"/>
    </row>
    <row r="74" spans="2:10" s="13" customFormat="1" ht="13.5" customHeight="1" x14ac:dyDescent="0.2">
      <c r="B74" s="56"/>
      <c r="C74" s="57"/>
      <c r="D74" s="62"/>
      <c r="E74" s="63"/>
      <c r="F74" s="63"/>
      <c r="G74" s="3"/>
      <c r="H74" s="4"/>
      <c r="I74" s="5"/>
      <c r="J74" s="6"/>
    </row>
    <row r="75" spans="2:10" s="13" customFormat="1" ht="13.5" customHeight="1" x14ac:dyDescent="0.2">
      <c r="B75" s="56"/>
      <c r="C75" s="57"/>
      <c r="D75" s="62"/>
      <c r="E75" s="63"/>
      <c r="F75" s="63"/>
      <c r="G75" s="3"/>
      <c r="H75" s="4"/>
      <c r="I75" s="5"/>
      <c r="J75" s="6"/>
    </row>
    <row r="76" spans="2:10" s="13" customFormat="1" ht="13.5" customHeight="1" x14ac:dyDescent="0.2">
      <c r="B76" s="56"/>
      <c r="C76" s="57"/>
      <c r="D76" s="62"/>
      <c r="E76" s="63"/>
      <c r="F76" s="63"/>
      <c r="G76" s="3"/>
      <c r="H76" s="4"/>
      <c r="I76" s="5"/>
      <c r="J76" s="6"/>
    </row>
    <row r="77" spans="2:10" s="13" customFormat="1" ht="13.5" customHeight="1" x14ac:dyDescent="0.2">
      <c r="B77" s="56"/>
      <c r="C77" s="57"/>
      <c r="D77" s="62"/>
      <c r="E77" s="63"/>
      <c r="F77" s="63"/>
      <c r="G77" s="3"/>
      <c r="H77" s="4"/>
      <c r="I77" s="5"/>
      <c r="J77" s="6"/>
    </row>
    <row r="78" spans="2:10" s="13" customFormat="1" ht="13.5" customHeight="1" x14ac:dyDescent="0.2">
      <c r="B78" s="56"/>
      <c r="C78" s="57"/>
      <c r="D78" s="62"/>
      <c r="E78" s="63"/>
      <c r="F78" s="63"/>
      <c r="G78" s="3"/>
      <c r="H78" s="4"/>
      <c r="I78" s="5"/>
      <c r="J78" s="6"/>
    </row>
    <row r="79" spans="2:10" s="13" customFormat="1" ht="13.5" customHeight="1" x14ac:dyDescent="0.2">
      <c r="B79" s="56"/>
      <c r="C79" s="57"/>
      <c r="D79" s="62"/>
      <c r="E79" s="63"/>
      <c r="F79" s="63"/>
      <c r="G79" s="3"/>
      <c r="H79" s="4"/>
      <c r="I79" s="5"/>
      <c r="J79" s="6"/>
    </row>
    <row r="80" spans="2:10" s="13" customFormat="1" ht="13.5" customHeight="1" x14ac:dyDescent="0.2">
      <c r="B80" s="56"/>
      <c r="C80" s="57"/>
      <c r="D80" s="62"/>
      <c r="E80" s="63"/>
      <c r="F80" s="63"/>
      <c r="G80" s="3"/>
      <c r="H80" s="4"/>
      <c r="I80" s="5"/>
      <c r="J80" s="6"/>
    </row>
    <row r="81" spans="2:10" s="13" customFormat="1" ht="13.5" customHeight="1" x14ac:dyDescent="0.2">
      <c r="B81" s="56"/>
      <c r="C81" s="57"/>
      <c r="D81" s="62"/>
      <c r="E81" s="63"/>
      <c r="F81" s="63"/>
      <c r="G81" s="3"/>
      <c r="H81" s="4"/>
      <c r="I81" s="5"/>
      <c r="J81" s="6"/>
    </row>
    <row r="82" spans="2:10" s="13" customFormat="1" ht="13.5" customHeight="1" x14ac:dyDescent="0.2">
      <c r="B82" s="56"/>
      <c r="C82" s="57"/>
      <c r="D82" s="62"/>
      <c r="E82" s="63"/>
      <c r="F82" s="63"/>
      <c r="G82" s="3"/>
      <c r="H82" s="4"/>
      <c r="I82" s="5"/>
      <c r="J82" s="6"/>
    </row>
    <row r="83" spans="2:10" s="13" customFormat="1" ht="13.5" customHeight="1" x14ac:dyDescent="0.2">
      <c r="B83" s="56"/>
      <c r="C83" s="57"/>
      <c r="D83" s="62"/>
      <c r="E83" s="63"/>
      <c r="F83" s="63"/>
      <c r="G83" s="3"/>
      <c r="H83" s="4"/>
      <c r="I83" s="5"/>
      <c r="J83" s="6"/>
    </row>
    <row r="84" spans="2:10" ht="12.75" customHeight="1" x14ac:dyDescent="0.2">
      <c r="B84" s="7"/>
      <c r="D84" s="30"/>
      <c r="E84" s="2"/>
      <c r="F84" s="2"/>
      <c r="G84" s="3"/>
      <c r="H84" s="4"/>
      <c r="I84" s="5"/>
      <c r="J84" s="6"/>
    </row>
    <row r="85" spans="2:10" ht="6.75" customHeight="1" thickBot="1" x14ac:dyDescent="0.25">
      <c r="B85" s="31"/>
      <c r="C85" s="32"/>
      <c r="D85" s="32"/>
      <c r="E85" s="32"/>
      <c r="F85" s="33"/>
      <c r="G85" s="34"/>
      <c r="H85" s="35"/>
      <c r="I85" s="36"/>
      <c r="J85" s="37"/>
    </row>
    <row r="86" spans="2:10" ht="6.75" customHeight="1" thickTop="1" x14ac:dyDescent="0.2">
      <c r="B86" s="7"/>
      <c r="G86" s="38"/>
      <c r="H86" s="39"/>
      <c r="I86" s="40"/>
      <c r="J86" s="41"/>
    </row>
    <row r="87" spans="2:10" ht="12.75" customHeight="1" x14ac:dyDescent="0.2">
      <c r="B87" s="42"/>
      <c r="C87" s="13"/>
      <c r="D87" s="13" t="s">
        <v>16</v>
      </c>
      <c r="E87" s="43">
        <f>SUM(I28:I85)</f>
        <v>677.6</v>
      </c>
      <c r="F87" s="13"/>
      <c r="G87" s="44">
        <f>SUM(G28:G85)</f>
        <v>77</v>
      </c>
      <c r="H87" s="39"/>
      <c r="I87" s="40"/>
    </row>
    <row r="88" spans="2:10" ht="12.75" customHeight="1" x14ac:dyDescent="0.2">
      <c r="B88" s="7"/>
      <c r="G88" s="38"/>
      <c r="H88" s="39"/>
      <c r="I88" s="40"/>
    </row>
    <row r="89" spans="2:10" ht="6.75" customHeight="1" x14ac:dyDescent="0.2">
      <c r="B89" s="7"/>
      <c r="G89" s="38"/>
      <c r="H89" s="45"/>
    </row>
    <row r="90" spans="2:10" ht="12.75" customHeight="1" x14ac:dyDescent="0.2">
      <c r="B90" s="7"/>
      <c r="G90" s="38"/>
      <c r="H90" s="45"/>
    </row>
    <row r="91" spans="2:10" ht="12.75" customHeight="1" x14ac:dyDescent="0.2">
      <c r="B91" s="7"/>
      <c r="G91" s="38"/>
      <c r="H91" s="39"/>
      <c r="I91" s="40"/>
    </row>
    <row r="92" spans="2:10" ht="12.75" customHeight="1" x14ac:dyDescent="0.2">
      <c r="B92" s="46" t="s">
        <v>20</v>
      </c>
      <c r="C92" s="46"/>
      <c r="D92" s="46"/>
      <c r="E92" s="46"/>
      <c r="F92" s="13"/>
      <c r="G92" s="47"/>
      <c r="H92" s="48"/>
      <c r="I92" s="49"/>
      <c r="J92" s="50"/>
    </row>
    <row r="93" spans="2:10" ht="12.75" customHeight="1" x14ac:dyDescent="0.2">
      <c r="B93" s="46" t="s">
        <v>25</v>
      </c>
      <c r="C93" s="46"/>
      <c r="D93" s="46"/>
      <c r="E93" s="46"/>
      <c r="F93" s="13"/>
      <c r="H93" s="51" t="s">
        <v>17</v>
      </c>
      <c r="I93" s="52"/>
    </row>
    <row r="94" spans="2:10" ht="12.75" customHeight="1" x14ac:dyDescent="0.2">
      <c r="B94" s="46" t="s">
        <v>26</v>
      </c>
      <c r="C94" s="46"/>
      <c r="D94" s="46"/>
      <c r="E94" s="46"/>
      <c r="F94" s="13"/>
      <c r="H94" s="53" t="s">
        <v>18</v>
      </c>
      <c r="I94" s="54"/>
    </row>
    <row r="95" spans="2:10" ht="12.75" customHeight="1" x14ac:dyDescent="0.2">
      <c r="B95" s="46" t="s">
        <v>21</v>
      </c>
      <c r="C95" s="46"/>
      <c r="D95" s="46"/>
      <c r="E95" s="46"/>
      <c r="F95" s="13"/>
      <c r="H95" s="39"/>
    </row>
    <row r="96" spans="2:10" ht="12.75" customHeight="1" x14ac:dyDescent="0.2">
      <c r="B96" s="55" t="s">
        <v>22</v>
      </c>
      <c r="C96" s="55"/>
      <c r="D96" s="55"/>
      <c r="E96" s="55"/>
      <c r="F96" s="13"/>
      <c r="H96" s="45"/>
    </row>
    <row r="97" spans="2:9" ht="12.75" customHeight="1" x14ac:dyDescent="0.2">
      <c r="B97" s="55" t="s">
        <v>23</v>
      </c>
      <c r="C97" s="55"/>
      <c r="D97" s="55"/>
      <c r="E97" s="55"/>
      <c r="F97" s="13"/>
      <c r="H97" s="45"/>
    </row>
    <row r="98" spans="2:9" ht="12.75" customHeight="1" x14ac:dyDescent="0.2">
      <c r="B98" s="13"/>
      <c r="C98" s="13"/>
      <c r="D98" s="13"/>
      <c r="E98" s="13"/>
      <c r="F98" s="13"/>
      <c r="H98" s="39"/>
    </row>
    <row r="99" spans="2:9" ht="17.25" customHeight="1" x14ac:dyDescent="0.2">
      <c r="H99" s="66" t="s">
        <v>19</v>
      </c>
      <c r="I99" s="67"/>
    </row>
    <row r="100" spans="2:9" ht="17.25" customHeight="1" x14ac:dyDescent="0.2"/>
    <row r="101" spans="2:9" ht="17.25" customHeight="1" x14ac:dyDescent="0.2"/>
  </sheetData>
  <mergeCells count="4">
    <mergeCell ref="F2:H2"/>
    <mergeCell ref="H99:I99"/>
    <mergeCell ref="F12:H12"/>
    <mergeCell ref="F13:H13"/>
  </mergeCells>
  <phoneticPr fontId="19" type="noConversion"/>
  <pageMargins left="0.37" right="0.32" top="0.71" bottom="0.59" header="0.5" footer="0.33"/>
  <pageSetup paperSize="9" scale="84" orientation="portrait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PI</vt:lpstr>
    </vt:vector>
  </TitlesOfParts>
  <Company>My home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LeeJames</cp:lastModifiedBy>
  <cp:lastPrinted>2017-04-26T02:07:44Z</cp:lastPrinted>
  <dcterms:created xsi:type="dcterms:W3CDTF">2010-08-11T10:29:08Z</dcterms:created>
  <dcterms:modified xsi:type="dcterms:W3CDTF">2026-04-09T04:23:06Z</dcterms:modified>
</cp:coreProperties>
</file>