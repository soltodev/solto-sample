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55695e4b9f1866/Desktop/"/>
    </mc:Choice>
  </mc:AlternateContent>
  <xr:revisionPtr revIDLastSave="13" documentId="8_{85B4BC9F-5B16-4FF3-A107-806203983846}" xr6:coauthVersionLast="47" xr6:coauthVersionMax="47" xr10:uidLastSave="{55736BBF-FB97-4713-AAB1-C780757D1DC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Sheet1!$A$14:$O$14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4" i="1" l="1"/>
  <c r="M34" i="1"/>
  <c r="O22" i="1"/>
  <c r="O19" i="1"/>
</calcChain>
</file>

<file path=xl/sharedStrings.xml><?xml version="1.0" encoding="utf-8"?>
<sst xmlns="http://schemas.openxmlformats.org/spreadsheetml/2006/main" count="234" uniqueCount="234">
  <si>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</si>
  <si>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</si>
  <si>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</si>
  <si>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</si>
  <si>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</si>
  <si>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</si>
  <si>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</si>
  <si>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</si>
  <si>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</si>
  <si>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2026-03-03</t>
    <phoneticPr fontId="1" type="noConversion"/>
  </si>
  <si>
    <t>Due Date</t>
    <phoneticPr fontId="1" type="noConversion"/>
  </si>
  <si>
    <t>:</t>
    <phoneticPr fontId="1" type="noConversion"/>
  </si>
  <si>
    <t>2026-03-31</t>
    <phoneticPr fontId="1" type="noConversion"/>
  </si>
  <si>
    <t>PO NO</t>
    <phoneticPr fontId="1" type="noConversion"/>
  </si>
  <si>
    <t>:</t>
    <phoneticPr fontId="1" type="noConversion"/>
  </si>
  <si>
    <t>1260303-100</t>
    <phoneticPr fontId="1" type="noConversion"/>
  </si>
  <si>
    <t>Ship To</t>
    <phoneticPr fontId="1" type="noConversion"/>
  </si>
  <si>
    <t>:</t>
    <phoneticPr fontId="1" type="noConversion"/>
  </si>
  <si>
    <t>PT JS BOYOLALI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</si>
  <si>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</si>
  <si>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</si>
  <si>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</si>
  <si>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</si>
  <si>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</si>
  <si>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</si>
  <si>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</si>
  <si>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</si>
  <si>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</si>
  <si>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</si>
  <si>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</si>
  <si>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</si>
  <si>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</si>
  <si>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</si>
  <si>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</si>
  <si>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</si>
  <si>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</si>
  <si>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</si>
  <si>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</si>
  <si>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</si>
  <si>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</si>
  <si>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</si>
  <si>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</si>
  <si>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</si>
  <si>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</si>
  <si>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</si>
  <si>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</si>
  <si>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</si>
  <si>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</si>
  <si>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</si>
  <si>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</si>
  <si>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</si>
  <si>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 xml:space="preserve">(MK) DBL SD MK SIG COATED TWILL MD WITH NAPPA PU BACKING - SOLTO (A) </t>
    <phoneticPr fontId="1" type="noConversion"/>
  </si>
  <si>
    <t>132CM</t>
    <phoneticPr fontId="1" type="noConversion"/>
  </si>
  <si>
    <t>M</t>
    <phoneticPr fontId="1" type="noConversion"/>
  </si>
  <si>
    <t>BROWN/LUGGAGE</t>
    <phoneticPr fontId="1" type="noConversion"/>
  </si>
  <si>
    <t>MK</t>
    <phoneticPr fontId="1" type="noConversion"/>
  </si>
  <si>
    <t>FAL26</t>
    <phoneticPr fontId="1" type="noConversion"/>
  </si>
  <si>
    <t xml:space="preserve">(MK) DBL SD MK SIG COATED TWILL MD WITH NAPPA PU BACKING - SOLTO (A) </t>
    <phoneticPr fontId="1" type="noConversion"/>
  </si>
  <si>
    <t>132CM</t>
    <phoneticPr fontId="1" type="noConversion"/>
  </si>
  <si>
    <t>M</t>
    <phoneticPr fontId="1" type="noConversion"/>
  </si>
  <si>
    <t>VANILLA/LUGGAGE</t>
    <phoneticPr fontId="1" type="noConversion"/>
  </si>
  <si>
    <t>MK</t>
    <phoneticPr fontId="1" type="noConversion"/>
  </si>
  <si>
    <t>FAL26</t>
    <phoneticPr fontId="1" type="noConversion"/>
  </si>
  <si>
    <t>(MK) DBLSD FLOATER MK SIG MD-SOLTO (A)</t>
    <phoneticPr fontId="1" type="noConversion"/>
  </si>
  <si>
    <t>132CM</t>
    <phoneticPr fontId="1" type="noConversion"/>
  </si>
  <si>
    <t>M</t>
    <phoneticPr fontId="1" type="noConversion"/>
  </si>
  <si>
    <t>BROWN/LUGGAGE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</si>
  <si>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</si>
  <si>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</si>
  <si>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</si>
  <si>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</si>
  <si>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</si>
  <si>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BALLET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</si>
  <si>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</si>
  <si>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</si>
  <si>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</si>
  <si>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</si>
  <si>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</si>
  <si>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</si>
  <si>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</si>
  <si>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</si>
  <si>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</si>
  <si>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</si>
  <si>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</si>
  <si>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BURNT KHAKI/LIGHT TONAL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</si>
  <si>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</si>
  <si>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</si>
  <si>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</si>
  <si>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</si>
  <si>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</si>
  <si>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DEEP RED/LIGHT TONAL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</si>
  <si>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</si>
  <si>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</si>
  <si>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</si>
  <si>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</si>
  <si>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</si>
  <si>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</si>
  <si>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</si>
  <si>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</si>
  <si>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</si>
  <si>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</si>
  <si>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</si>
  <si>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</si>
  <si>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</si>
  <si>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</si>
  <si>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</si>
  <si>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</si>
  <si>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</si>
  <si>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</si>
  <si>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</si>
  <si>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</si>
  <si>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MD (2CM/OUTLET-137CM)-SOLTO (A)</t>
    <phoneticPr fontId="1" type="noConversion"/>
  </si>
  <si>
    <t>137CM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</si>
  <si>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</si>
  <si>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</si>
  <si>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</si>
  <si>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</si>
  <si>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</si>
  <si>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</si>
  <si>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</si>
  <si>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</si>
  <si>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</si>
  <si>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</si>
  <si>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</si>
  <si>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</si>
  <si>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</si>
  <si>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</si>
  <si>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</si>
  <si>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</si>
  <si>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SIG COATED TWILL SM (1.2CM/OUTLET)-SOLTO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</si>
  <si>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</si>
  <si>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</si>
  <si>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</si>
  <si>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</si>
  <si>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</si>
  <si>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</si>
  <si>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</si>
  <si>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</si>
  <si>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</si>
  <si>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</si>
  <si>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</si>
  <si>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</si>
  <si>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</si>
  <si>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</si>
  <si>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BURNT KHAKI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</si>
  <si>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</si>
  <si>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</si>
  <si>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</si>
  <si>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</si>
  <si>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</si>
  <si>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DEEP RED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</si>
  <si>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</si>
  <si>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</si>
  <si>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</si>
  <si>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</si>
  <si>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</si>
  <si>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LIGHT CREAM</t>
    <phoneticPr fontId="1" type="noConversion"/>
  </si>
  <si>
    <t>MK</t>
    <phoneticPr fontId="1" type="noConversion"/>
  </si>
  <si>
    <t>FAL26</t>
    <phoneticPr fontId="1" type="noConversion"/>
  </si>
  <si>
    <t>(MK) SAFFIANO PVC 10-SOLTO (A)</t>
    <phoneticPr fontId="1" type="noConversion"/>
  </si>
  <si>
    <t>139.5CM</t>
    <phoneticPr fontId="1" type="noConversion"/>
  </si>
  <si>
    <t>M</t>
    <phoneticPr fontId="1" type="noConversion"/>
  </si>
  <si>
    <t>LUGGAGE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</si>
  <si>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</si>
  <si>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</si>
  <si>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</si>
  <si>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</si>
  <si>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</si>
  <si>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</si>
  <si>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</si>
  <si>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</si>
  <si>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</si>
  <si>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</si>
  <si>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</si>
  <si>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</si>
  <si>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</si>
  <si>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</si>
  <si>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</si>
  <si>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</si>
  <si>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</si>
  <si>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</si>
  <si>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</si>
  <si>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</si>
  <si>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</si>
  <si>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</si>
  <si>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</si>
  <si>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</si>
  <si>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</si>
  <si>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</si>
  <si>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</si>
  <si>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</si>
  <si>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</si>
  <si>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</si>
  <si>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</si>
  <si>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</si>
  <si>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</si>
  <si>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</si>
  <si>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</si>
  <si>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</si>
  <si>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</si>
  <si>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</si>
  <si>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</si>
  <si>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</si>
  <si>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</si>
  <si>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</si>
  <si>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</si>
  <si>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</si>
  <si>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</si>
  <si>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</si>
  <si>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</si>
  <si>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</si>
  <si>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</si>
  <si>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</si>
  <si>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</si>
  <si>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</si>
  <si>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</si>
  <si>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</si>
  <si>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</si>
  <si>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</si>
  <si>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</si>
  <si>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</si>
  <si>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</si>
  <si>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</si>
  <si>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</si>
  <si>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</si>
  <si>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</si>
  <si>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</si>
  <si>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</si>
  <si>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</si>
  <si>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</si>
  <si>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</si>
  <si>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</si>
  <si>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</si>
  <si>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MMK FAL26 MAINLINE MAINBUY CUTUP MAINBUY 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</si>
</sst>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81" formatCode="#,##0.00_ 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5"/>
      <color rgb="FF000000"/>
      <name val="Arial Unicode MS"/>
      <family val="2"/>
    </font>
    <font>
      <sz val="6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8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activeCell="S20" sqref="S20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  <col min="18" max="18" width="9.796875" bestFit="1" customWidth="1"/>
  </cols>
  <sheetData>
    <row r="1" spans="1:15" ht="31.0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3.9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3.9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4.95" customHeight="1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27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3.95" customHeight="1">
      <c r="A6" s="14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13.95" customHeight="1">
      <c r="A7" s="14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ht="16.05" customHeight="1">
      <c r="A8" s="15" t="s">
        <v>7</v>
      </c>
      <c r="B8" s="15"/>
      <c r="C8" s="1" t="s">
        <v>8</v>
      </c>
      <c r="D8" s="16" t="s">
        <v>9</v>
      </c>
      <c r="E8" s="16"/>
      <c r="F8" s="16"/>
      <c r="G8" s="16"/>
      <c r="H8" s="16"/>
      <c r="I8" s="15" t="s">
        <v>10</v>
      </c>
      <c r="J8" s="15"/>
      <c r="K8" s="1" t="s">
        <v>11</v>
      </c>
      <c r="L8" s="16" t="s">
        <v>12</v>
      </c>
      <c r="M8" s="16"/>
      <c r="N8" s="16"/>
      <c r="O8" s="16"/>
    </row>
    <row r="9" spans="1:15" ht="13.95" customHeight="1">
      <c r="A9" s="15" t="s">
        <v>13</v>
      </c>
      <c r="B9" s="15"/>
      <c r="C9" s="1" t="s">
        <v>14</v>
      </c>
      <c r="D9" s="16" t="s">
        <v>15</v>
      </c>
      <c r="E9" s="16"/>
      <c r="F9" s="16"/>
      <c r="G9" s="16"/>
      <c r="H9" s="16"/>
      <c r="I9" s="15" t="s">
        <v>16</v>
      </c>
      <c r="J9" s="15"/>
      <c r="K9" s="1" t="s">
        <v>17</v>
      </c>
      <c r="L9" s="16" t="s">
        <v>18</v>
      </c>
      <c r="M9" s="16"/>
      <c r="N9" s="16"/>
      <c r="O9" s="16"/>
    </row>
    <row r="10" spans="1:15" ht="13.95" customHeight="1">
      <c r="A10" s="17" t="s">
        <v>19</v>
      </c>
      <c r="B10" s="17"/>
      <c r="C10" s="1" t="s">
        <v>20</v>
      </c>
      <c r="D10" s="18" t="s">
        <v>21</v>
      </c>
      <c r="E10" s="18"/>
      <c r="F10" s="18"/>
      <c r="G10" s="18"/>
      <c r="H10" s="18"/>
      <c r="I10" s="15" t="s">
        <v>22</v>
      </c>
      <c r="J10" s="15"/>
      <c r="K10" s="1" t="s">
        <v>23</v>
      </c>
      <c r="L10" s="16" t="s">
        <v>24</v>
      </c>
      <c r="M10" s="16"/>
      <c r="N10" s="16"/>
      <c r="O10" s="16"/>
    </row>
    <row r="11" spans="1:15" ht="13.95" customHeight="1">
      <c r="A11" s="15" t="s">
        <v>25</v>
      </c>
      <c r="B11" s="15"/>
      <c r="C11" s="1" t="s">
        <v>26</v>
      </c>
      <c r="D11" s="16" t="s">
        <v>27</v>
      </c>
      <c r="E11" s="16"/>
      <c r="F11" s="16"/>
      <c r="G11" s="16"/>
      <c r="H11" s="16"/>
      <c r="I11" s="15" t="s">
        <v>28</v>
      </c>
      <c r="J11" s="15"/>
      <c r="K11" s="1" t="s">
        <v>29</v>
      </c>
      <c r="L11" s="16" t="s">
        <v>30</v>
      </c>
      <c r="M11" s="16"/>
      <c r="N11" s="16"/>
      <c r="O11" s="16"/>
    </row>
    <row r="12" spans="1:15" ht="13.95" customHeight="1">
      <c r="A12" s="15" t="s">
        <v>31</v>
      </c>
      <c r="B12" s="15"/>
      <c r="C12" s="1" t="s">
        <v>32</v>
      </c>
      <c r="D12" s="16" t="s">
        <v>233</v>
      </c>
      <c r="E12" s="16"/>
      <c r="F12" s="16"/>
      <c r="G12" s="16"/>
      <c r="H12" s="16"/>
      <c r="I12" s="18" t="s">
        <v>33</v>
      </c>
      <c r="J12" s="18"/>
      <c r="K12" s="1" t="s">
        <v>34</v>
      </c>
      <c r="L12" s="14" t="s">
        <v>35</v>
      </c>
      <c r="M12" s="14"/>
      <c r="N12" s="14"/>
      <c r="O12" s="14"/>
    </row>
    <row r="13" spans="1:15" ht="18" customHeight="1">
      <c r="A13" s="18" t="s">
        <v>36</v>
      </c>
      <c r="B13" s="18"/>
      <c r="C13" s="1" t="s">
        <v>37</v>
      </c>
      <c r="D13" s="14" t="s">
        <v>38</v>
      </c>
      <c r="E13" s="14"/>
      <c r="F13" s="14"/>
      <c r="G13" s="14"/>
      <c r="H13" s="14"/>
      <c r="I13" s="18" t="s">
        <v>39</v>
      </c>
      <c r="J13" s="18"/>
      <c r="K13" s="1" t="s">
        <v>40</v>
      </c>
      <c r="L13" s="14" t="s">
        <v>41</v>
      </c>
      <c r="M13" s="14"/>
      <c r="N13" s="14"/>
      <c r="O13" s="14"/>
    </row>
    <row r="14" spans="1:15" ht="15" customHeight="1">
      <c r="A14" s="4" t="s">
        <v>49</v>
      </c>
      <c r="B14" s="19" t="s">
        <v>50</v>
      </c>
      <c r="C14" s="19"/>
      <c r="D14" s="19"/>
      <c r="E14" s="19" t="s">
        <v>42</v>
      </c>
      <c r="F14" s="19"/>
      <c r="G14" s="19"/>
      <c r="H14" s="19" t="s">
        <v>43</v>
      </c>
      <c r="I14" s="19"/>
      <c r="J14" s="19" t="s">
        <v>44</v>
      </c>
      <c r="K14" s="19"/>
      <c r="L14" s="4" t="s">
        <v>45</v>
      </c>
      <c r="M14" s="4" t="s">
        <v>46</v>
      </c>
      <c r="N14" s="4" t="s">
        <v>47</v>
      </c>
      <c r="O14" s="4" t="s">
        <v>48</v>
      </c>
    </row>
    <row r="15" spans="1:15" ht="15" customHeight="1">
      <c r="A15" s="7" t="s">
        <v>55</v>
      </c>
      <c r="B15" s="22" t="s">
        <v>56</v>
      </c>
      <c r="C15" s="22"/>
      <c r="D15" s="22"/>
      <c r="E15" s="20" t="s">
        <v>51</v>
      </c>
      <c r="F15" s="20"/>
      <c r="G15" s="20"/>
      <c r="H15" s="21" t="s">
        <v>52</v>
      </c>
      <c r="I15" s="21"/>
      <c r="J15" s="22" t="s">
        <v>53</v>
      </c>
      <c r="K15" s="22"/>
      <c r="L15" s="6" t="s">
        <v>54</v>
      </c>
      <c r="M15" s="8">
        <v>173</v>
      </c>
      <c r="N15" s="9">
        <v>15.1</v>
      </c>
      <c r="O15" s="8">
        <v>2612.3000000000002</v>
      </c>
    </row>
    <row r="16" spans="1:15" ht="15" customHeight="1">
      <c r="A16" s="7" t="s">
        <v>61</v>
      </c>
      <c r="B16" s="22" t="s">
        <v>62</v>
      </c>
      <c r="C16" s="22"/>
      <c r="D16" s="22"/>
      <c r="E16" s="20" t="s">
        <v>57</v>
      </c>
      <c r="F16" s="20"/>
      <c r="G16" s="20"/>
      <c r="H16" s="21" t="s">
        <v>58</v>
      </c>
      <c r="I16" s="21"/>
      <c r="J16" s="22" t="s">
        <v>59</v>
      </c>
      <c r="K16" s="22"/>
      <c r="L16" s="6" t="s">
        <v>60</v>
      </c>
      <c r="M16" s="8">
        <v>193</v>
      </c>
      <c r="N16" s="9">
        <v>15.1</v>
      </c>
      <c r="O16" s="8">
        <v>2914.3</v>
      </c>
    </row>
    <row r="17" spans="1:18" ht="15" customHeight="1">
      <c r="A17" s="7" t="s">
        <v>67</v>
      </c>
      <c r="B17" s="22" t="s">
        <v>68</v>
      </c>
      <c r="C17" s="22"/>
      <c r="D17" s="22"/>
      <c r="E17" s="21" t="s">
        <v>63</v>
      </c>
      <c r="F17" s="21"/>
      <c r="G17" s="21"/>
      <c r="H17" s="21" t="s">
        <v>64</v>
      </c>
      <c r="I17" s="21"/>
      <c r="J17" s="22" t="s">
        <v>65</v>
      </c>
      <c r="K17" s="22"/>
      <c r="L17" s="6" t="s">
        <v>66</v>
      </c>
      <c r="M17" s="8">
        <v>252</v>
      </c>
      <c r="N17" s="9">
        <v>15.15</v>
      </c>
      <c r="O17" s="8">
        <v>3817.8</v>
      </c>
    </row>
    <row r="18" spans="1:18" ht="15" customHeight="1">
      <c r="A18" s="7" t="s">
        <v>73</v>
      </c>
      <c r="B18" s="22" t="s">
        <v>74</v>
      </c>
      <c r="C18" s="22"/>
      <c r="D18" s="22"/>
      <c r="E18" s="20" t="s">
        <v>69</v>
      </c>
      <c r="F18" s="20"/>
      <c r="G18" s="20"/>
      <c r="H18" s="21" t="s">
        <v>70</v>
      </c>
      <c r="I18" s="21"/>
      <c r="J18" s="22" t="s">
        <v>71</v>
      </c>
      <c r="K18" s="22"/>
      <c r="L18" s="6" t="s">
        <v>72</v>
      </c>
      <c r="M18" s="8">
        <v>92</v>
      </c>
      <c r="N18" s="9">
        <v>8.5500000000000007</v>
      </c>
      <c r="O18" s="8">
        <v>786.6</v>
      </c>
    </row>
    <row r="19" spans="1:18" ht="15" customHeight="1">
      <c r="A19" s="7" t="s">
        <v>79</v>
      </c>
      <c r="B19" s="22" t="s">
        <v>80</v>
      </c>
      <c r="C19" s="22"/>
      <c r="D19" s="22"/>
      <c r="E19" s="20" t="s">
        <v>75</v>
      </c>
      <c r="F19" s="20"/>
      <c r="G19" s="20"/>
      <c r="H19" s="21" t="s">
        <v>76</v>
      </c>
      <c r="I19" s="21"/>
      <c r="J19" s="22" t="s">
        <v>77</v>
      </c>
      <c r="K19" s="22"/>
      <c r="L19" s="6" t="s">
        <v>78</v>
      </c>
      <c r="M19" s="8">
        <v>10249</v>
      </c>
      <c r="N19" s="9">
        <v>8.5500000000000007</v>
      </c>
      <c r="O19" s="8">
        <f>N19*M19</f>
        <v>87628.950000000012</v>
      </c>
      <c r="R19" s="25"/>
    </row>
    <row r="20" spans="1:18" ht="15" customHeight="1">
      <c r="A20" s="7" t="s">
        <v>85</v>
      </c>
      <c r="B20" s="22" t="s">
        <v>86</v>
      </c>
      <c r="C20" s="22"/>
      <c r="D20" s="22"/>
      <c r="E20" s="20" t="s">
        <v>81</v>
      </c>
      <c r="F20" s="20"/>
      <c r="G20" s="20"/>
      <c r="H20" s="21" t="s">
        <v>82</v>
      </c>
      <c r="I20" s="21"/>
      <c r="J20" s="22" t="s">
        <v>83</v>
      </c>
      <c r="K20" s="22"/>
      <c r="L20" s="5" t="s">
        <v>84</v>
      </c>
      <c r="M20" s="8">
        <v>92</v>
      </c>
      <c r="N20" s="9">
        <v>8.5500000000000007</v>
      </c>
      <c r="O20" s="8">
        <v>786.6</v>
      </c>
    </row>
    <row r="21" spans="1:18" ht="15" customHeight="1">
      <c r="A21" s="7" t="s">
        <v>91</v>
      </c>
      <c r="B21" s="22" t="s">
        <v>92</v>
      </c>
      <c r="C21" s="22"/>
      <c r="D21" s="22"/>
      <c r="E21" s="20" t="s">
        <v>87</v>
      </c>
      <c r="F21" s="20"/>
      <c r="G21" s="20"/>
      <c r="H21" s="21" t="s">
        <v>88</v>
      </c>
      <c r="I21" s="21"/>
      <c r="J21" s="22" t="s">
        <v>89</v>
      </c>
      <c r="K21" s="22"/>
      <c r="L21" s="10" t="s">
        <v>90</v>
      </c>
      <c r="M21" s="8">
        <v>124</v>
      </c>
      <c r="N21" s="9">
        <v>8.5500000000000007</v>
      </c>
      <c r="O21" s="8">
        <v>1060.2</v>
      </c>
    </row>
    <row r="22" spans="1:18" ht="15" customHeight="1">
      <c r="A22" s="7" t="s">
        <v>97</v>
      </c>
      <c r="B22" s="22" t="s">
        <v>98</v>
      </c>
      <c r="C22" s="22"/>
      <c r="D22" s="22"/>
      <c r="E22" s="20" t="s">
        <v>93</v>
      </c>
      <c r="F22" s="20"/>
      <c r="G22" s="20"/>
      <c r="H22" s="21" t="s">
        <v>94</v>
      </c>
      <c r="I22" s="21"/>
      <c r="J22" s="22" t="s">
        <v>95</v>
      </c>
      <c r="K22" s="22"/>
      <c r="L22" s="6" t="s">
        <v>96</v>
      </c>
      <c r="M22" s="8">
        <v>8165</v>
      </c>
      <c r="N22" s="9">
        <v>8.5500000000000007</v>
      </c>
      <c r="O22" s="8">
        <f>N22*M22</f>
        <v>69810.75</v>
      </c>
      <c r="R22" s="25"/>
    </row>
    <row r="23" spans="1:18" ht="15" customHeight="1">
      <c r="A23" s="7" t="s">
        <v>103</v>
      </c>
      <c r="B23" s="22" t="s">
        <v>104</v>
      </c>
      <c r="C23" s="22"/>
      <c r="D23" s="22"/>
      <c r="E23" s="23" t="s">
        <v>99</v>
      </c>
      <c r="F23" s="23"/>
      <c r="G23" s="23"/>
      <c r="H23" s="21" t="s">
        <v>100</v>
      </c>
      <c r="I23" s="21"/>
      <c r="J23" s="22" t="s">
        <v>101</v>
      </c>
      <c r="K23" s="22"/>
      <c r="L23" s="6" t="s">
        <v>102</v>
      </c>
      <c r="M23" s="8">
        <v>787</v>
      </c>
      <c r="N23" s="9">
        <v>8.35</v>
      </c>
      <c r="O23" s="8">
        <v>6571.45</v>
      </c>
    </row>
    <row r="24" spans="1:18" ht="15" customHeight="1">
      <c r="A24" s="7" t="s">
        <v>109</v>
      </c>
      <c r="B24" s="22" t="s">
        <v>110</v>
      </c>
      <c r="C24" s="22"/>
      <c r="D24" s="22"/>
      <c r="E24" s="23" t="s">
        <v>105</v>
      </c>
      <c r="F24" s="23"/>
      <c r="G24" s="23"/>
      <c r="H24" s="21" t="s">
        <v>106</v>
      </c>
      <c r="I24" s="21"/>
      <c r="J24" s="22" t="s">
        <v>107</v>
      </c>
      <c r="K24" s="22"/>
      <c r="L24" s="6" t="s">
        <v>108</v>
      </c>
      <c r="M24" s="8">
        <v>7133</v>
      </c>
      <c r="N24" s="9">
        <v>8.35</v>
      </c>
      <c r="O24" s="8">
        <v>59560.55</v>
      </c>
    </row>
    <row r="25" spans="1:18" ht="15" customHeight="1">
      <c r="A25" s="7" t="s">
        <v>115</v>
      </c>
      <c r="B25" s="22" t="s">
        <v>116</v>
      </c>
      <c r="C25" s="22"/>
      <c r="D25" s="22"/>
      <c r="E25" s="23" t="s">
        <v>111</v>
      </c>
      <c r="F25" s="23"/>
      <c r="G25" s="23"/>
      <c r="H25" s="21" t="s">
        <v>112</v>
      </c>
      <c r="I25" s="21"/>
      <c r="J25" s="22" t="s">
        <v>113</v>
      </c>
      <c r="K25" s="22"/>
      <c r="L25" s="6" t="s">
        <v>114</v>
      </c>
      <c r="M25" s="8">
        <v>3888</v>
      </c>
      <c r="N25" s="9">
        <v>8.35</v>
      </c>
      <c r="O25" s="8">
        <v>32464.799999999999</v>
      </c>
    </row>
    <row r="26" spans="1:18" ht="15" customHeight="1">
      <c r="A26" s="7" t="s">
        <v>121</v>
      </c>
      <c r="B26" s="22" t="s">
        <v>122</v>
      </c>
      <c r="C26" s="22"/>
      <c r="D26" s="22"/>
      <c r="E26" s="21" t="s">
        <v>117</v>
      </c>
      <c r="F26" s="21"/>
      <c r="G26" s="21"/>
      <c r="H26" s="21" t="s">
        <v>118</v>
      </c>
      <c r="I26" s="21"/>
      <c r="J26" s="22" t="s">
        <v>119</v>
      </c>
      <c r="K26" s="22"/>
      <c r="L26" s="6" t="s">
        <v>120</v>
      </c>
      <c r="M26" s="8">
        <v>26</v>
      </c>
      <c r="N26" s="9">
        <v>8.15</v>
      </c>
      <c r="O26" s="8">
        <v>211.9</v>
      </c>
    </row>
    <row r="27" spans="1:18" ht="15" customHeight="1">
      <c r="A27" s="7" t="s">
        <v>127</v>
      </c>
      <c r="B27" s="22" t="s">
        <v>128</v>
      </c>
      <c r="C27" s="22"/>
      <c r="D27" s="22"/>
      <c r="E27" s="21" t="s">
        <v>123</v>
      </c>
      <c r="F27" s="21"/>
      <c r="G27" s="21"/>
      <c r="H27" s="21" t="s">
        <v>124</v>
      </c>
      <c r="I27" s="21"/>
      <c r="J27" s="22" t="s">
        <v>125</v>
      </c>
      <c r="K27" s="22"/>
      <c r="L27" s="6" t="s">
        <v>126</v>
      </c>
      <c r="M27" s="8">
        <v>484</v>
      </c>
      <c r="N27" s="9">
        <v>8.15</v>
      </c>
      <c r="O27" s="8">
        <v>3944.6</v>
      </c>
    </row>
    <row r="28" spans="1:18" ht="15" customHeight="1">
      <c r="A28" s="7" t="s">
        <v>133</v>
      </c>
      <c r="B28" s="22" t="s">
        <v>134</v>
      </c>
      <c r="C28" s="22"/>
      <c r="D28" s="22"/>
      <c r="E28" s="21" t="s">
        <v>129</v>
      </c>
      <c r="F28" s="21"/>
      <c r="G28" s="21"/>
      <c r="H28" s="21" t="s">
        <v>130</v>
      </c>
      <c r="I28" s="21"/>
      <c r="J28" s="22" t="s">
        <v>131</v>
      </c>
      <c r="K28" s="22"/>
      <c r="L28" s="6" t="s">
        <v>132</v>
      </c>
      <c r="M28" s="8">
        <v>289</v>
      </c>
      <c r="N28" s="9">
        <v>8.15</v>
      </c>
      <c r="O28" s="8">
        <v>2355.35</v>
      </c>
    </row>
    <row r="29" spans="1:18" ht="15" customHeight="1">
      <c r="A29" s="7" t="s">
        <v>139</v>
      </c>
      <c r="B29" s="22" t="s">
        <v>140</v>
      </c>
      <c r="C29" s="22"/>
      <c r="D29" s="22"/>
      <c r="E29" s="21" t="s">
        <v>135</v>
      </c>
      <c r="F29" s="21"/>
      <c r="G29" s="21"/>
      <c r="H29" s="21" t="s">
        <v>136</v>
      </c>
      <c r="I29" s="21"/>
      <c r="J29" s="22" t="s">
        <v>137</v>
      </c>
      <c r="K29" s="22"/>
      <c r="L29" s="6" t="s">
        <v>138</v>
      </c>
      <c r="M29" s="8">
        <v>376</v>
      </c>
      <c r="N29" s="9">
        <v>4.5</v>
      </c>
      <c r="O29" s="8">
        <v>1692</v>
      </c>
    </row>
    <row r="30" spans="1:18" ht="15" customHeight="1">
      <c r="A30" s="7" t="s">
        <v>145</v>
      </c>
      <c r="B30" s="22" t="s">
        <v>146</v>
      </c>
      <c r="C30" s="22"/>
      <c r="D30" s="22"/>
      <c r="E30" s="21" t="s">
        <v>141</v>
      </c>
      <c r="F30" s="21"/>
      <c r="G30" s="21"/>
      <c r="H30" s="21" t="s">
        <v>142</v>
      </c>
      <c r="I30" s="21"/>
      <c r="J30" s="22" t="s">
        <v>143</v>
      </c>
      <c r="K30" s="22"/>
      <c r="L30" s="6" t="s">
        <v>144</v>
      </c>
      <c r="M30" s="8">
        <v>9</v>
      </c>
      <c r="N30" s="9">
        <v>4.5</v>
      </c>
      <c r="O30" s="8">
        <v>40.5</v>
      </c>
    </row>
    <row r="31" spans="1:18" ht="15" customHeight="1">
      <c r="A31" s="7" t="s">
        <v>151</v>
      </c>
      <c r="B31" s="22" t="s">
        <v>152</v>
      </c>
      <c r="C31" s="22"/>
      <c r="D31" s="22"/>
      <c r="E31" s="21" t="s">
        <v>147</v>
      </c>
      <c r="F31" s="21"/>
      <c r="G31" s="21"/>
      <c r="H31" s="21" t="s">
        <v>148</v>
      </c>
      <c r="I31" s="21"/>
      <c r="J31" s="22" t="s">
        <v>149</v>
      </c>
      <c r="K31" s="22"/>
      <c r="L31" s="6" t="s">
        <v>150</v>
      </c>
      <c r="M31" s="8">
        <v>11</v>
      </c>
      <c r="N31" s="9">
        <v>4.5</v>
      </c>
      <c r="O31" s="8">
        <v>49.5</v>
      </c>
    </row>
    <row r="32" spans="1:18" ht="15" customHeight="1">
      <c r="A32" s="7" t="s">
        <v>157</v>
      </c>
      <c r="B32" s="22" t="s">
        <v>158</v>
      </c>
      <c r="C32" s="22"/>
      <c r="D32" s="22"/>
      <c r="E32" s="21" t="s">
        <v>153</v>
      </c>
      <c r="F32" s="21"/>
      <c r="G32" s="21"/>
      <c r="H32" s="21" t="s">
        <v>154</v>
      </c>
      <c r="I32" s="21"/>
      <c r="J32" s="22" t="s">
        <v>155</v>
      </c>
      <c r="K32" s="22"/>
      <c r="L32" s="6" t="s">
        <v>156</v>
      </c>
      <c r="M32" s="8">
        <v>386</v>
      </c>
      <c r="N32" s="9">
        <v>4.5</v>
      </c>
      <c r="O32" s="8">
        <v>1737</v>
      </c>
    </row>
    <row r="33" spans="1:15" ht="15" customHeight="1">
      <c r="A33" s="7" t="s">
        <v>163</v>
      </c>
      <c r="B33" s="22" t="s">
        <v>164</v>
      </c>
      <c r="C33" s="22"/>
      <c r="D33" s="22"/>
      <c r="E33" s="21" t="s">
        <v>159</v>
      </c>
      <c r="F33" s="21"/>
      <c r="G33" s="21"/>
      <c r="H33" s="21" t="s">
        <v>160</v>
      </c>
      <c r="I33" s="21"/>
      <c r="J33" s="22" t="s">
        <v>161</v>
      </c>
      <c r="K33" s="22"/>
      <c r="L33" s="6" t="s">
        <v>162</v>
      </c>
      <c r="M33" s="8">
        <v>3014</v>
      </c>
      <c r="N33" s="9">
        <v>4.5</v>
      </c>
      <c r="O33" s="8">
        <v>13563</v>
      </c>
    </row>
    <row r="34" spans="1:15" ht="15" customHeight="1">
      <c r="A34" s="24" t="s">
        <v>166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8">
        <f>SUM(M15:M33)</f>
        <v>35743</v>
      </c>
      <c r="N34" s="11" t="s">
        <v>165</v>
      </c>
      <c r="O34" s="8">
        <f>SUM(O15:O33)</f>
        <v>291608.14999999997</v>
      </c>
    </row>
    <row r="35" spans="1:15" ht="289.05" customHeight="1"/>
    <row r="36" spans="1:15" ht="10.050000000000001" customHeight="1">
      <c r="A36" s="16" t="s">
        <v>167</v>
      </c>
      <c r="B36" s="16"/>
      <c r="C36" s="16"/>
      <c r="D36" s="16"/>
      <c r="E36" s="16"/>
      <c r="F36" s="3" t="s">
        <v>182</v>
      </c>
      <c r="G36" s="16" t="s">
        <v>183</v>
      </c>
      <c r="H36" s="16"/>
      <c r="I36" s="16"/>
      <c r="J36" s="16"/>
      <c r="K36" s="16"/>
      <c r="L36" s="16"/>
      <c r="M36" s="16"/>
      <c r="N36" s="16"/>
      <c r="O36" s="16"/>
    </row>
    <row r="37" spans="1:15" ht="10.050000000000001" customHeight="1">
      <c r="A37" s="16" t="s">
        <v>168</v>
      </c>
      <c r="B37" s="16"/>
      <c r="C37" s="16"/>
      <c r="D37" s="16"/>
      <c r="E37" s="16"/>
      <c r="F37" s="3" t="s">
        <v>184</v>
      </c>
      <c r="G37" s="16" t="s">
        <v>185</v>
      </c>
      <c r="H37" s="16"/>
      <c r="I37" s="16"/>
      <c r="J37" s="16"/>
      <c r="K37" s="16"/>
      <c r="L37" s="16"/>
      <c r="M37" s="16"/>
      <c r="N37" s="16"/>
      <c r="O37" s="16"/>
    </row>
    <row r="38" spans="1:15" ht="10.050000000000001" customHeight="1">
      <c r="A38" s="16" t="s">
        <v>169</v>
      </c>
      <c r="B38" s="16"/>
      <c r="C38" s="16"/>
      <c r="D38" s="16"/>
      <c r="E38" s="16"/>
      <c r="F38" s="3" t="s">
        <v>186</v>
      </c>
      <c r="G38" s="16" t="s">
        <v>187</v>
      </c>
      <c r="H38" s="16"/>
      <c r="I38" s="16"/>
      <c r="J38" s="16"/>
      <c r="K38" s="16"/>
      <c r="L38" s="16"/>
      <c r="M38" s="16"/>
      <c r="N38" s="16"/>
      <c r="O38" s="16"/>
    </row>
    <row r="39" spans="1:15" ht="10.050000000000001" customHeight="1">
      <c r="A39" s="15" t="s">
        <v>170</v>
      </c>
      <c r="B39" s="15"/>
      <c r="C39" s="15"/>
      <c r="D39" s="15"/>
      <c r="E39" s="15"/>
      <c r="F39" s="2" t="s">
        <v>188</v>
      </c>
      <c r="G39" s="16" t="s">
        <v>189</v>
      </c>
      <c r="H39" s="16"/>
      <c r="I39" s="16"/>
      <c r="J39" s="16"/>
      <c r="K39" s="16"/>
      <c r="L39" s="16"/>
      <c r="M39" s="16"/>
      <c r="N39" s="16"/>
      <c r="O39" s="16"/>
    </row>
    <row r="40" spans="1:15" ht="10.050000000000001" customHeight="1">
      <c r="A40" s="16" t="s">
        <v>171</v>
      </c>
      <c r="B40" s="16"/>
      <c r="C40" s="16"/>
      <c r="D40" s="16"/>
      <c r="E40" s="16"/>
      <c r="F40" s="3" t="s">
        <v>190</v>
      </c>
      <c r="G40" s="16" t="s">
        <v>191</v>
      </c>
      <c r="H40" s="16"/>
      <c r="I40" s="16"/>
      <c r="J40" s="16"/>
      <c r="K40" s="16"/>
      <c r="L40" s="16"/>
      <c r="M40" s="16"/>
      <c r="N40" s="16"/>
      <c r="O40" s="16"/>
    </row>
    <row r="41" spans="1:15" ht="10.050000000000001" customHeight="1">
      <c r="A41" s="16" t="s">
        <v>172</v>
      </c>
      <c r="B41" s="16"/>
      <c r="C41" s="16"/>
      <c r="D41" s="16"/>
      <c r="E41" s="16"/>
      <c r="F41" s="3" t="s">
        <v>192</v>
      </c>
      <c r="G41" s="16" t="s">
        <v>193</v>
      </c>
      <c r="H41" s="16"/>
      <c r="I41" s="16"/>
      <c r="J41" s="16"/>
      <c r="K41" s="16"/>
      <c r="L41" s="16"/>
      <c r="M41" s="16"/>
      <c r="N41" s="16"/>
      <c r="O41" s="16"/>
    </row>
    <row r="42" spans="1:15" ht="10.050000000000001" customHeight="1">
      <c r="A42" s="16" t="s">
        <v>173</v>
      </c>
      <c r="B42" s="16"/>
      <c r="C42" s="16"/>
      <c r="D42" s="16"/>
      <c r="E42" s="16"/>
      <c r="F42" s="3" t="s">
        <v>194</v>
      </c>
      <c r="G42" s="16" t="s">
        <v>195</v>
      </c>
      <c r="H42" s="16"/>
      <c r="I42" s="16"/>
      <c r="J42" s="16"/>
      <c r="K42" s="16"/>
      <c r="L42" s="16"/>
      <c r="M42" s="16"/>
      <c r="N42" s="16"/>
      <c r="O42" s="16"/>
    </row>
    <row r="43" spans="1:15" ht="10.050000000000001" customHeight="1">
      <c r="A43" s="16" t="s">
        <v>174</v>
      </c>
      <c r="B43" s="16"/>
      <c r="C43" s="16"/>
      <c r="D43" s="16"/>
      <c r="E43" s="16"/>
      <c r="F43" s="3" t="s">
        <v>196</v>
      </c>
      <c r="G43" s="16" t="s">
        <v>197</v>
      </c>
      <c r="H43" s="16"/>
      <c r="I43" s="16"/>
      <c r="J43" s="16"/>
      <c r="K43" s="16"/>
      <c r="L43" s="16"/>
      <c r="M43" s="16"/>
      <c r="N43" s="16"/>
      <c r="O43" s="16"/>
    </row>
    <row r="44" spans="1:15" ht="10.050000000000001" customHeight="1">
      <c r="A44" s="16" t="s">
        <v>175</v>
      </c>
      <c r="B44" s="16"/>
      <c r="C44" s="16"/>
      <c r="D44" s="16"/>
      <c r="E44" s="16"/>
      <c r="F44" s="3" t="s">
        <v>198</v>
      </c>
      <c r="G44" s="16" t="s">
        <v>199</v>
      </c>
      <c r="H44" s="16"/>
      <c r="I44" s="16"/>
      <c r="J44" s="16"/>
      <c r="K44" s="16"/>
      <c r="L44" s="16"/>
      <c r="M44" s="16"/>
      <c r="N44" s="16"/>
      <c r="O44" s="16"/>
    </row>
    <row r="45" spans="1:15" ht="10.050000000000001" customHeight="1">
      <c r="A45" s="16" t="s">
        <v>176</v>
      </c>
      <c r="B45" s="16"/>
      <c r="C45" s="16"/>
      <c r="D45" s="16"/>
      <c r="E45" s="16"/>
      <c r="F45" s="3" t="s">
        <v>200</v>
      </c>
      <c r="G45" s="16" t="s">
        <v>201</v>
      </c>
      <c r="H45" s="16"/>
      <c r="I45" s="16"/>
      <c r="J45" s="16"/>
      <c r="K45" s="16"/>
      <c r="L45" s="16"/>
      <c r="M45" s="16"/>
      <c r="N45" s="16"/>
      <c r="O45" s="16"/>
    </row>
    <row r="46" spans="1:15" ht="10.050000000000001" customHeight="1">
      <c r="A46" s="16" t="s">
        <v>177</v>
      </c>
      <c r="B46" s="16"/>
      <c r="C46" s="16"/>
      <c r="D46" s="16"/>
      <c r="E46" s="16"/>
      <c r="F46" s="3" t="s">
        <v>202</v>
      </c>
      <c r="G46" s="16" t="s">
        <v>203</v>
      </c>
      <c r="H46" s="16"/>
      <c r="I46" s="16"/>
      <c r="J46" s="16"/>
      <c r="K46" s="16"/>
      <c r="L46" s="16"/>
      <c r="M46" s="16"/>
      <c r="N46" s="16"/>
      <c r="O46" s="16"/>
    </row>
    <row r="47" spans="1:15" ht="10.050000000000001" customHeight="1">
      <c r="A47" s="16" t="s">
        <v>178</v>
      </c>
      <c r="B47" s="16"/>
      <c r="C47" s="16"/>
      <c r="D47" s="16"/>
      <c r="E47" s="16"/>
      <c r="F47" s="3" t="s">
        <v>204</v>
      </c>
      <c r="G47" s="16" t="s">
        <v>205</v>
      </c>
      <c r="H47" s="16"/>
      <c r="I47" s="16"/>
      <c r="J47" s="16"/>
      <c r="K47" s="16"/>
      <c r="L47" s="16"/>
      <c r="M47" s="16"/>
      <c r="N47" s="16"/>
      <c r="O47" s="16"/>
    </row>
    <row r="48" spans="1:15" ht="10.050000000000001" customHeight="1">
      <c r="A48" s="16" t="s">
        <v>179</v>
      </c>
      <c r="B48" s="16"/>
      <c r="C48" s="16"/>
      <c r="D48" s="16"/>
      <c r="E48" s="16"/>
      <c r="F48" s="3" t="s">
        <v>206</v>
      </c>
      <c r="G48" s="16" t="s">
        <v>207</v>
      </c>
      <c r="H48" s="16"/>
      <c r="I48" s="16"/>
      <c r="J48" s="16"/>
      <c r="K48" s="16"/>
      <c r="L48" s="16"/>
      <c r="M48" s="16"/>
      <c r="N48" s="16"/>
      <c r="O48" s="16"/>
    </row>
    <row r="49" spans="1:15" ht="10.050000000000001" customHeight="1">
      <c r="A49" s="16" t="s">
        <v>180</v>
      </c>
      <c r="B49" s="16"/>
      <c r="C49" s="16"/>
      <c r="D49" s="16"/>
      <c r="E49" s="16"/>
      <c r="F49" s="3" t="s">
        <v>208</v>
      </c>
      <c r="G49" s="16" t="s">
        <v>209</v>
      </c>
      <c r="H49" s="16"/>
      <c r="I49" s="16"/>
      <c r="J49" s="16"/>
      <c r="K49" s="16"/>
      <c r="L49" s="16"/>
      <c r="M49" s="16"/>
      <c r="N49" s="16"/>
      <c r="O49" s="16"/>
    </row>
    <row r="50" spans="1:15" ht="10.050000000000001" customHeight="1">
      <c r="A50" s="15" t="s">
        <v>181</v>
      </c>
      <c r="B50" s="15"/>
      <c r="C50" s="15"/>
      <c r="D50" s="15"/>
      <c r="E50" s="15"/>
      <c r="F50" s="3" t="s">
        <v>210</v>
      </c>
      <c r="G50" s="16" t="s">
        <v>211</v>
      </c>
      <c r="H50" s="16"/>
      <c r="I50" s="16"/>
      <c r="J50" s="16"/>
      <c r="K50" s="16"/>
      <c r="L50" s="16"/>
      <c r="M50" s="16"/>
      <c r="N50" s="16"/>
      <c r="O50" s="16"/>
    </row>
    <row r="51" spans="1:15" ht="10.050000000000001" customHeight="1">
      <c r="A51" s="16" t="s">
        <v>212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1:15" ht="10.050000000000001" customHeight="1">
      <c r="A52" s="16" t="s">
        <v>213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1:15" ht="10.050000000000001" customHeight="1">
      <c r="A53" s="16" t="s">
        <v>214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1:15" ht="10.050000000000001" customHeight="1">
      <c r="A54" s="16" t="s">
        <v>215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1:15" ht="10.050000000000001" customHeight="1">
      <c r="A55" s="16" t="s">
        <v>216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1:15" ht="10.050000000000001" customHeight="1">
      <c r="A56" s="16" t="s">
        <v>217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1:15" ht="10.050000000000001" customHeight="1">
      <c r="A57" s="16" t="s">
        <v>218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1:15" ht="10.050000000000001" customHeight="1">
      <c r="A58" s="16" t="s">
        <v>219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1:15" ht="10.050000000000001" customHeight="1">
      <c r="A59" s="16" t="s">
        <v>220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1:15" ht="10.050000000000001" customHeight="1">
      <c r="A60" s="16" t="s">
        <v>221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1:15" ht="10.050000000000001" customHeight="1">
      <c r="A61" s="16" t="s">
        <v>222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1:15" ht="10.050000000000001" customHeight="1">
      <c r="A62" s="16" t="s">
        <v>223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1:15" ht="10.050000000000001" customHeight="1">
      <c r="A63" s="16" t="s">
        <v>224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1:15" ht="10.050000000000001" customHeight="1">
      <c r="A64" s="16" t="s">
        <v>225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1:15" ht="10.050000000000001" customHeight="1">
      <c r="A65" s="16" t="s">
        <v>226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10.050000000000001" customHeight="1">
      <c r="A66" s="16" t="s">
        <v>227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1:15" ht="10.050000000000001" customHeight="1">
      <c r="A67" s="16" t="s">
        <v>228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1:15" ht="10.050000000000001" customHeight="1">
      <c r="A68" s="16" t="s">
        <v>229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1:15" ht="10.050000000000001" customHeight="1">
      <c r="A69" s="16" t="s">
        <v>230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1:15" ht="10.050000000000001" customHeight="1">
      <c r="A70" s="16" t="s">
        <v>231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1:15" ht="10.95" customHeight="1">
      <c r="A71" s="16" t="s">
        <v>232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1:15" ht="409.6" customHeight="1"/>
  </sheetData>
  <autoFilter ref="A14:O14" xr:uid="{00000000-0001-0000-0000-000000000000}">
    <filterColumn colId="1" showButton="0"/>
    <filterColumn colId="2" showButton="0"/>
    <filterColumn colId="4" showButton="0"/>
    <filterColumn colId="5" showButton="0"/>
    <filterColumn colId="7" showButton="0"/>
    <filterColumn colId="9" showButton="0"/>
  </autoFilter>
  <mergeCells count="163">
    <mergeCell ref="A69:O69"/>
    <mergeCell ref="A70:O70"/>
    <mergeCell ref="A71:O71"/>
    <mergeCell ref="A60:O60"/>
    <mergeCell ref="A61:O61"/>
    <mergeCell ref="A62:O62"/>
    <mergeCell ref="A63:O63"/>
    <mergeCell ref="A64:O64"/>
    <mergeCell ref="A65:O65"/>
    <mergeCell ref="A66:O66"/>
    <mergeCell ref="A67:O67"/>
    <mergeCell ref="A68:O68"/>
    <mergeCell ref="A51:O51"/>
    <mergeCell ref="A52:O52"/>
    <mergeCell ref="A53:O53"/>
    <mergeCell ref="A54:O54"/>
    <mergeCell ref="A55:O55"/>
    <mergeCell ref="A56:O56"/>
    <mergeCell ref="A57:O57"/>
    <mergeCell ref="A58:O58"/>
    <mergeCell ref="A59:O59"/>
    <mergeCell ref="A49:E49"/>
    <mergeCell ref="A50:E50"/>
    <mergeCell ref="G36:O36"/>
    <mergeCell ref="G37:O37"/>
    <mergeCell ref="G38:O38"/>
    <mergeCell ref="G39:O39"/>
    <mergeCell ref="G40:O40"/>
    <mergeCell ref="G41:O41"/>
    <mergeCell ref="G42:O42"/>
    <mergeCell ref="G43:O43"/>
    <mergeCell ref="G44:O44"/>
    <mergeCell ref="G45:O45"/>
    <mergeCell ref="G46:O46"/>
    <mergeCell ref="G47:O47"/>
    <mergeCell ref="G48:O48"/>
    <mergeCell ref="G49:O49"/>
    <mergeCell ref="G50:O50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E33:G33"/>
    <mergeCell ref="H33:I33"/>
    <mergeCell ref="J33:K33"/>
    <mergeCell ref="B33:D33"/>
    <mergeCell ref="A34:L34"/>
    <mergeCell ref="A36:E36"/>
    <mergeCell ref="A37:E37"/>
    <mergeCell ref="A38:E38"/>
    <mergeCell ref="A39:E39"/>
    <mergeCell ref="E30:G30"/>
    <mergeCell ref="H30:I30"/>
    <mergeCell ref="J30:K30"/>
    <mergeCell ref="B30:D30"/>
    <mergeCell ref="E31:G31"/>
    <mergeCell ref="H31:I31"/>
    <mergeCell ref="J31:K31"/>
    <mergeCell ref="B31:D31"/>
    <mergeCell ref="E32:G32"/>
    <mergeCell ref="H32:I32"/>
    <mergeCell ref="J32:K32"/>
    <mergeCell ref="B32:D32"/>
    <mergeCell ref="E27:G27"/>
    <mergeCell ref="H27:I27"/>
    <mergeCell ref="J27:K27"/>
    <mergeCell ref="B27:D27"/>
    <mergeCell ref="E28:G28"/>
    <mergeCell ref="H28:I28"/>
    <mergeCell ref="J28:K28"/>
    <mergeCell ref="B28:D28"/>
    <mergeCell ref="E29:G29"/>
    <mergeCell ref="H29:I29"/>
    <mergeCell ref="J29:K29"/>
    <mergeCell ref="B29:D29"/>
    <mergeCell ref="E24:G24"/>
    <mergeCell ref="H24:I24"/>
    <mergeCell ref="J24:K24"/>
    <mergeCell ref="B24:D24"/>
    <mergeCell ref="E25:G25"/>
    <mergeCell ref="H25:I25"/>
    <mergeCell ref="J25:K25"/>
    <mergeCell ref="B25:D25"/>
    <mergeCell ref="E26:G26"/>
    <mergeCell ref="H26:I26"/>
    <mergeCell ref="J26:K26"/>
    <mergeCell ref="B26:D26"/>
    <mergeCell ref="E21:G21"/>
    <mergeCell ref="H21:I21"/>
    <mergeCell ref="J21:K21"/>
    <mergeCell ref="B21:D21"/>
    <mergeCell ref="E22:G22"/>
    <mergeCell ref="H22:I22"/>
    <mergeCell ref="J22:K22"/>
    <mergeCell ref="B22:D22"/>
    <mergeCell ref="E23:G23"/>
    <mergeCell ref="H23:I23"/>
    <mergeCell ref="J23:K23"/>
    <mergeCell ref="B23:D23"/>
    <mergeCell ref="E18:G18"/>
    <mergeCell ref="H18:I18"/>
    <mergeCell ref="J18:K18"/>
    <mergeCell ref="B18:D18"/>
    <mergeCell ref="E19:G19"/>
    <mergeCell ref="H19:I19"/>
    <mergeCell ref="J19:K19"/>
    <mergeCell ref="B19:D19"/>
    <mergeCell ref="E20:G20"/>
    <mergeCell ref="H20:I20"/>
    <mergeCell ref="J20:K20"/>
    <mergeCell ref="B20:D20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</mergeCells>
  <phoneticPr fontId="1" type="noConversion"/>
  <pageMargins left="0.21" right="0.2" top="0.21" bottom="0.19" header="0.3" footer="0.3"/>
  <pageSetup paperSize="9" scale="86" fitToWidth="0" fitToHeight="0" orientation="portrait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2026-03-03T09:35:41Z</dcterms:created>
  <dcterms:modified xsi:type="dcterms:W3CDTF">2026-03-03T09:38:13Z</dcterms:modified>
</cp:coreProperties>
</file>